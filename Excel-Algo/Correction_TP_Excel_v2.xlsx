
<file path=[Content_Types].xml><?xml version="1.0" encoding="utf-8"?>
<Types xmlns="http://schemas.openxmlformats.org/package/2006/content-types">
  <Default Extension="bin" ContentType="application/vnd.openxmlformats-officedocument.spreadsheetml.printerSettings"/>
  <Default Extension="rels" ContentType="application/vnd.openxmlformats-package.relationships+xml"/>
  <Default Extension="xml" ContentType="application/xml"/>
  <Override PartName="/xl/workbook.xml" ContentType="application/vnd.openxmlformats-officedocument.spreadsheetml.sheet.main+xml"/>
  <Override PartName="/docProps/core.xml" ContentType="application/vnd.openxmlformats-package.core-properties+xml"/>
  <Override PartName="/docProps/app.xml" ContentType="application/vnd.openxmlformats-officedocument.extended-properties+xml"/>
  <Override PartName="/docProps/custom.xml" ContentType="application/vnd.openxmlformats-officedocument.custom-properties+xml"/>
  <Override PartName="/xl/chartsheets/sheet1.xml" ContentType="application/vnd.openxmlformats-officedocument.spreadsheetml.chartsheet+xml"/>
  <Override PartName="/xl/chartsheets/sheet2.xml" ContentType="application/vnd.openxmlformats-officedocument.spreadsheetml.chartsheet+xml"/>
  <Override PartName="/xl/worksheets/sheet1.xml" ContentType="application/vnd.openxmlformats-officedocument.spreadsheetml.worksheet+xml"/>
  <Override PartName="/xl/worksheets/sheet2.xml" ContentType="application/vnd.openxmlformats-officedocument.spreadsheetml.worksheet+xml"/>
  <Override PartName="/xl/theme/theme1.xml" ContentType="application/vnd.openxmlformats-officedocument.theme+xml"/>
  <Override PartName="/xl/styles.xml" ContentType="application/vnd.openxmlformats-officedocument.spreadsheetml.styles+xml"/>
  <Override PartName="/xl/sharedStrings.xml" ContentType="application/vnd.openxmlformats-officedocument.spreadsheetml.sharedStrings+xml"/>
  <Override PartName="/xl/drawings/drawing1.xml" ContentType="application/vnd.openxmlformats-officedocument.drawing+xml"/>
  <Override PartName="/xl/charts/chart1.xml" ContentType="application/vnd.openxmlformats-officedocument.drawingml.chart+xml"/>
  <Override PartName="/xl/drawings/drawing2.xml" ContentType="application/vnd.openxmlformats-officedocument.drawing+xml"/>
  <Override PartName="/xl/charts/chart2.xml" ContentType="application/vnd.openxmlformats-officedocument.drawingml.chart+xml"/>
  <Override PartName="/xl/calcChain.xml" ContentType="application/vnd.openxmlformats-officedocument.spreadsheetml.calcChain+xml"/>
  <Override PartName="/customXml/itemProps1.xml" ContentType="application/vnd.openxmlformats-officedocument.customXmlProperties+xml"/>
  <Override PartName="/customXml/itemProps2.xml" ContentType="application/vnd.openxmlformats-officedocument.customXmlProperties+xml"/>
  <Override PartName="/customXml/itemProps3.xml" ContentType="application/vnd.openxmlformats-officedocument.customXmlProperties+xml"/>
</Types>
</file>

<file path=_rels/.rels><?xml version="1.0" encoding="UTF-8" standalone="yes"?>
<Relationships xmlns="http://schemas.openxmlformats.org/package/2006/relationships"><Relationship Id="rId3" Type="http://schemas.openxmlformats.org/officeDocument/2006/relationships/extended-properties" Target="docProps/app.xml"/><Relationship Id="rId2" Type="http://schemas.openxmlformats.org/package/2006/relationships/metadata/core-properties" Target="docProps/core.xml"/><Relationship Id="rId1" Type="http://schemas.openxmlformats.org/officeDocument/2006/relationships/officeDocument" Target="xl/workbook.xml"/><Relationship Id="rId4" Type="http://schemas.openxmlformats.org/officeDocument/2006/relationships/custom-properties" Target="docProps/custom.xml"/></Relationships>
</file>

<file path=xl/workbook.xml><?xml version="1.0" encoding="utf-8"?>
<workbook xmlns="http://schemas.openxmlformats.org/spreadsheetml/2006/main" xmlns:r="http://schemas.openxmlformats.org/officeDocument/2006/relationships" xmlns:mc="http://schemas.openxmlformats.org/markup-compatibility/2006" xmlns:x15="http://schemas.microsoft.com/office/spreadsheetml/2010/11/main" xmlns:xr="http://schemas.microsoft.com/office/spreadsheetml/2014/revision" xmlns:xr6="http://schemas.microsoft.com/office/spreadsheetml/2016/revision6" xmlns:xr10="http://schemas.microsoft.com/office/spreadsheetml/2016/revision10" xmlns:xr2="http://schemas.microsoft.com/office/spreadsheetml/2015/revision2" mc:Ignorable="x15 xr xr6 xr10 xr2">
  <fileVersion appName="xl" lastEdited="7" lowestEdited="7" rupBuild="29518"/>
  <workbookPr defaultThemeVersion="166925"/>
  <mc:AlternateContent xmlns:mc="http://schemas.openxmlformats.org/markup-compatibility/2006">
    <mc:Choice Requires="x15">
      <x15ac:absPath xmlns:x15ac="http://schemas.microsoft.com/office/spreadsheetml/2010/11/ac" url="C:\Users\Bachti\Desktop\"/>
    </mc:Choice>
  </mc:AlternateContent>
  <xr:revisionPtr revIDLastSave="0" documentId="8_{DD9EE415-A711-4991-B60C-1397B1BE291F}" xr6:coauthVersionLast="47" xr6:coauthVersionMax="47" xr10:uidLastSave="{00000000-0000-0000-0000-000000000000}"/>
  <bookViews>
    <workbookView xWindow="32760" yWindow="32760" windowWidth="28800" windowHeight="11805" firstSheet="2" activeTab="2" xr2:uid="{00000000-000D-0000-FFFF-FFFF00000000}"/>
  </bookViews>
  <sheets>
    <sheet name="Graphique1" sheetId="3" r:id="rId1"/>
    <sheet name="Graphique2" sheetId="4" r:id="rId2"/>
    <sheet name="Feuil1" sheetId="1" r:id="rId3"/>
    <sheet name="Feuil2" sheetId="2" r:id="rId4"/>
  </sheets>
  <calcPr calcId="191028"/>
  <extLst>
    <ext xmlns:x15="http://schemas.microsoft.com/office/spreadsheetml/2010/11/main" uri="{140A7094-0E35-4892-8432-C4D2E57EDEB5}">
      <x15:workbookPr chartTrackingRefBase="1"/>
    </ext>
    <ext xmlns:xcalcf="http://schemas.microsoft.com/office/spreadsheetml/2018/calcfeatures" uri="{B58B0392-4F1F-4190-BB64-5DF3571DCE5F}">
      <xcalcf:calcFeatures>
        <xcalcf:feature name="microsoft.com:RD"/>
        <xcalcf:feature name="microsoft.com:Single"/>
        <xcalcf:feature name="microsoft.com:FV"/>
        <xcalcf:feature name="microsoft.com:CNMTM"/>
        <xcalcf:feature name="microsoft.com:LET_WF"/>
        <xcalcf:feature name="microsoft.com:LAMBDA_WF"/>
        <xcalcf:feature name="microsoft.com:ARRAYTEXT_WF"/>
      </xcalcf:calcFeatures>
    </ext>
  </extLst>
</workbook>
</file>

<file path=xl/calcChain.xml><?xml version="1.0" encoding="utf-8"?>
<calcChain xmlns="http://schemas.openxmlformats.org/spreadsheetml/2006/main">
  <c r="M7" i="1" l="1"/>
  <c r="I8" i="1"/>
  <c r="I9" i="1"/>
  <c r="I10" i="1"/>
  <c r="I11" i="1"/>
  <c r="I12" i="1"/>
  <c r="K8" i="1"/>
  <c r="N8" i="1" s="1"/>
  <c r="K9" i="1"/>
  <c r="N9" i="1"/>
  <c r="K10" i="1"/>
  <c r="N10" i="1" s="1"/>
  <c r="K11" i="1"/>
  <c r="N11" i="1"/>
  <c r="K12" i="1"/>
  <c r="N12" i="1" s="1"/>
  <c r="K7" i="1"/>
  <c r="N7" i="1"/>
  <c r="J7" i="1"/>
  <c r="J8" i="1"/>
  <c r="J9" i="1"/>
  <c r="J10" i="1"/>
  <c r="L10" i="1" s="1"/>
  <c r="J11" i="1"/>
  <c r="J12" i="1"/>
  <c r="I7" i="1"/>
  <c r="H20" i="1"/>
  <c r="H8" i="1"/>
  <c r="M8" i="1" s="1"/>
  <c r="H9" i="1"/>
  <c r="M9" i="1"/>
  <c r="H10" i="1"/>
  <c r="M10" i="1" s="1"/>
  <c r="H11" i="1"/>
  <c r="M11" i="1"/>
  <c r="H12" i="1"/>
  <c r="M12" i="1" s="1"/>
  <c r="H7" i="1"/>
  <c r="L8" i="1"/>
  <c r="L9" i="1"/>
  <c r="L7" i="1"/>
  <c r="L12" i="1" l="1"/>
  <c r="L11" i="1"/>
  <c r="I15" i="1"/>
</calcChain>
</file>

<file path=xl/sharedStrings.xml><?xml version="1.0" encoding="utf-8"?>
<sst xmlns="http://schemas.openxmlformats.org/spreadsheetml/2006/main" count="33" uniqueCount="29">
  <si>
    <t>Nom</t>
  </si>
  <si>
    <t>Prénom</t>
  </si>
  <si>
    <t>Service</t>
  </si>
  <si>
    <t>Date d’embauche</t>
  </si>
  <si>
    <t>Salaire</t>
  </si>
  <si>
    <t>Prime (%)</t>
  </si>
  <si>
    <t>Note</t>
  </si>
  <si>
    <t>Salaire total</t>
  </si>
  <si>
    <t>Ancienneté</t>
  </si>
  <si>
    <t>Mention</t>
  </si>
  <si>
    <t>Ait Omar</t>
  </si>
  <si>
    <t>Lina</t>
  </si>
  <si>
    <t>Finance</t>
  </si>
  <si>
    <t>Mansouri</t>
  </si>
  <si>
    <t>Anas</t>
  </si>
  <si>
    <t>Informatique</t>
  </si>
  <si>
    <t>Chahidi</t>
  </si>
  <si>
    <t>Salma</t>
  </si>
  <si>
    <t>Marketing</t>
  </si>
  <si>
    <t>Tahiri</t>
  </si>
  <si>
    <t>Mehdi</t>
  </si>
  <si>
    <t>RH</t>
  </si>
  <si>
    <t>Zarrouk</t>
  </si>
  <si>
    <t>Imane</t>
  </si>
  <si>
    <t>Comptabilité</t>
  </si>
  <si>
    <t>Berrada</t>
  </si>
  <si>
    <t>Yassine</t>
  </si>
  <si>
    <t>somme salaire info</t>
  </si>
  <si>
    <t>lent si note&lt;5 
moyen si note entre 5 et 12 
rapide si note &gt;12</t>
  </si>
</sst>
</file>

<file path=xl/styles.xml><?xml version="1.0" encoding="utf-8"?>
<styleSheet xmlns="http://schemas.openxmlformats.org/spreadsheetml/2006/main" xmlns:mc="http://schemas.openxmlformats.org/markup-compatibility/2006" xmlns:x14ac="http://schemas.microsoft.com/office/spreadsheetml/2009/9/ac" xmlns:x16r2="http://schemas.microsoft.com/office/spreadsheetml/2015/02/main" xmlns:xr="http://schemas.microsoft.com/office/spreadsheetml/2014/revision" mc:Ignorable="x14ac x16r2 xr">
  <numFmts count="1">
    <numFmt numFmtId="164" formatCode="_ * #,##0.00_)&quot;DH&quot;_ ;_ * \(#,##0.00\)&quot;DH&quot;_ ;_ * &quot;-&quot;??_)&quot;DH&quot;_ ;_ @_ "/>
  </numFmts>
  <fonts count="4">
    <font>
      <sz val="11"/>
      <color theme="1"/>
      <name val="Calibri"/>
      <family val="2"/>
      <scheme val="minor"/>
    </font>
    <font>
      <sz val="11"/>
      <color theme="1"/>
      <name val="Calibri"/>
      <family val="2"/>
      <scheme val="minor"/>
    </font>
    <font>
      <b/>
      <sz val="12"/>
      <color theme="1"/>
      <name val="Times New Roman"/>
      <family val="1"/>
    </font>
    <font>
      <sz val="12"/>
      <color theme="1"/>
      <name val="Times New Roman"/>
      <family val="1"/>
    </font>
  </fonts>
  <fills count="3">
    <fill>
      <patternFill patternType="none"/>
    </fill>
    <fill>
      <patternFill patternType="gray125"/>
    </fill>
    <fill>
      <patternFill patternType="solid">
        <fgColor theme="4" tint="0.59999389629810485"/>
        <bgColor indexed="64"/>
      </patternFill>
    </fill>
  </fills>
  <borders count="6">
    <border>
      <left/>
      <right/>
      <top/>
      <bottom/>
      <diagonal/>
    </border>
    <border>
      <left style="medium">
        <color indexed="64"/>
      </left>
      <right style="medium">
        <color indexed="64"/>
      </right>
      <top style="medium">
        <color indexed="64"/>
      </top>
      <bottom style="medium">
        <color indexed="64"/>
      </bottom>
      <diagonal/>
    </border>
    <border>
      <left/>
      <right style="medium">
        <color indexed="64"/>
      </right>
      <top style="medium">
        <color indexed="64"/>
      </top>
      <bottom style="medium">
        <color indexed="64"/>
      </bottom>
      <diagonal/>
    </border>
    <border>
      <left style="medium">
        <color indexed="64"/>
      </left>
      <right style="medium">
        <color indexed="64"/>
      </right>
      <top/>
      <bottom style="medium">
        <color indexed="64"/>
      </bottom>
      <diagonal/>
    </border>
    <border>
      <left/>
      <right style="medium">
        <color indexed="64"/>
      </right>
      <top/>
      <bottom style="medium">
        <color indexed="64"/>
      </bottom>
      <diagonal/>
    </border>
    <border>
      <left style="thin">
        <color indexed="64"/>
      </left>
      <right style="thin">
        <color indexed="64"/>
      </right>
      <top style="thin">
        <color indexed="64"/>
      </top>
      <bottom style="thin">
        <color indexed="64"/>
      </bottom>
      <diagonal/>
    </border>
  </borders>
  <cellStyleXfs count="3">
    <xf numFmtId="0" fontId="0" fillId="0" borderId="0"/>
    <xf numFmtId="164" fontId="1" fillId="0" borderId="0" applyFont="0" applyFill="0" applyBorder="0" applyAlignment="0" applyProtection="0"/>
    <xf numFmtId="9" fontId="1" fillId="0" borderId="0" applyFont="0" applyFill="0" applyBorder="0" applyAlignment="0" applyProtection="0"/>
  </cellStyleXfs>
  <cellXfs count="15">
    <xf numFmtId="0" fontId="0" fillId="0" borderId="0" xfId="0"/>
    <xf numFmtId="0" fontId="2" fillId="0" borderId="1" xfId="0" applyFont="1" applyBorder="1" applyAlignment="1">
      <alignment horizontal="center" vertical="center" wrapText="1"/>
    </xf>
    <xf numFmtId="0" fontId="2" fillId="0" borderId="2" xfId="0" applyFont="1" applyBorder="1" applyAlignment="1">
      <alignment horizontal="center" vertical="center" wrapText="1"/>
    </xf>
    <xf numFmtId="0" fontId="3" fillId="0" borderId="3" xfId="0" applyFont="1" applyBorder="1" applyAlignment="1">
      <alignment vertical="center" wrapText="1"/>
    </xf>
    <xf numFmtId="0" fontId="3" fillId="0" borderId="4" xfId="0" applyFont="1" applyBorder="1" applyAlignment="1">
      <alignment vertical="center" wrapText="1"/>
    </xf>
    <xf numFmtId="14" fontId="3" fillId="0" borderId="4" xfId="0" applyNumberFormat="1" applyFont="1" applyBorder="1" applyAlignment="1">
      <alignment vertical="center" wrapText="1"/>
    </xf>
    <xf numFmtId="9" fontId="3" fillId="0" borderId="4" xfId="2" applyFont="1" applyBorder="1" applyAlignment="1">
      <alignment vertical="center" wrapText="1"/>
    </xf>
    <xf numFmtId="164" fontId="3" fillId="0" borderId="4" xfId="0" applyNumberFormat="1" applyFont="1" applyBorder="1" applyAlignment="1">
      <alignment vertical="center" wrapText="1"/>
    </xf>
    <xf numFmtId="0" fontId="0" fillId="0" borderId="5" xfId="0" applyBorder="1"/>
    <xf numFmtId="164" fontId="0" fillId="0" borderId="0" xfId="0" applyNumberFormat="1"/>
    <xf numFmtId="0" fontId="0" fillId="2" borderId="5" xfId="0" applyFill="1" applyBorder="1"/>
    <xf numFmtId="0" fontId="0" fillId="2" borderId="4" xfId="0" applyFill="1" applyBorder="1" applyAlignment="1">
      <alignment vertical="top" wrapText="1"/>
    </xf>
    <xf numFmtId="164" fontId="1" fillId="2" borderId="4" xfId="1" applyFont="1" applyFill="1" applyBorder="1" applyAlignment="1">
      <alignment vertical="top" wrapText="1"/>
    </xf>
    <xf numFmtId="0" fontId="0" fillId="0" borderId="0" xfId="0" applyAlignment="1">
      <alignment horizontal="center" vertical="top" wrapText="1"/>
    </xf>
    <xf numFmtId="0" fontId="0" fillId="0" borderId="0" xfId="0" applyAlignment="1">
      <alignment horizontal="center" vertical="top"/>
    </xf>
  </cellXfs>
  <cellStyles count="3">
    <cellStyle name="Currency" xfId="1" builtinId="4"/>
    <cellStyle name="Normal" xfId="0" builtinId="0"/>
    <cellStyle name="Percent" xfId="2" builtinId="5"/>
  </cellStyles>
  <dxfs count="0"/>
  <tableStyles count="0" defaultTableStyle="TableStyleMedium2" defaultPivotStyle="PivotStyleLight16"/>
  <extLst>
    <ext xmlns:x14="http://schemas.microsoft.com/office/spreadsheetml/2009/9/main" uri="{EB79DEF2-80B8-43e5-95BD-54CBDDF9020C}">
      <x14:slicerStyles defaultSlicerStyle="SlicerStyleLight1"/>
    </ext>
    <ext xmlns:x15="http://schemas.microsoft.com/office/spreadsheetml/2010/11/main" uri="{9260A510-F301-46a8-8635-F512D64BE5F5}">
      <x15:timelineStyles defaultTimelineStyle="TimeSlicerStyleLight1"/>
    </ext>
  </extLst>
</styleSheet>
</file>

<file path=xl/_rels/workbook.xml.rels><?xml version="1.0" encoding="UTF-8" standalone="yes"?>
<Relationships xmlns="http://schemas.openxmlformats.org/package/2006/relationships"><Relationship Id="rId8" Type="http://schemas.openxmlformats.org/officeDocument/2006/relationships/calcChain" Target="calcChain.xml"/><Relationship Id="rId3" Type="http://schemas.openxmlformats.org/officeDocument/2006/relationships/worksheet" Target="worksheets/sheet1.xml"/><Relationship Id="rId7" Type="http://schemas.openxmlformats.org/officeDocument/2006/relationships/sharedStrings" Target="sharedStrings.xml"/><Relationship Id="rId2" Type="http://schemas.openxmlformats.org/officeDocument/2006/relationships/chartsheet" Target="chartsheets/sheet2.xml"/><Relationship Id="rId1" Type="http://schemas.openxmlformats.org/officeDocument/2006/relationships/chartsheet" Target="chartsheets/sheet1.xml"/><Relationship Id="rId6" Type="http://schemas.openxmlformats.org/officeDocument/2006/relationships/styles" Target="styles.xml"/><Relationship Id="rId11" Type="http://schemas.openxmlformats.org/officeDocument/2006/relationships/customXml" Target="../customXml/item3.xml"/><Relationship Id="rId5" Type="http://schemas.openxmlformats.org/officeDocument/2006/relationships/theme" Target="theme/theme1.xml"/><Relationship Id="rId10" Type="http://schemas.openxmlformats.org/officeDocument/2006/relationships/customXml" Target="../customXml/item2.xml"/><Relationship Id="rId4" Type="http://schemas.openxmlformats.org/officeDocument/2006/relationships/worksheet" Target="worksheets/sheet2.xml"/><Relationship Id="rId9" Type="http://schemas.openxmlformats.org/officeDocument/2006/relationships/customXml" Target="../customXml/item1.xml"/></Relationships>
</file>

<file path=xl/charts/chart1.xml><?xml version="1.0" encoding="utf-8"?>
<c:chartSpace xmlns:c="http://schemas.openxmlformats.org/drawingml/2006/chart" xmlns:a="http://schemas.openxmlformats.org/drawingml/2006/main" xmlns:r="http://schemas.openxmlformats.org/officeDocument/2006/relationships" xmlns:c16r2="http://schemas.microsoft.com/office/drawing/2015/06/chart">
  <c:date1904 val="0"/>
  <c:lang val="en-US"/>
  <c:roundedCorners val="0"/>
  <mc:AlternateContent xmlns:mc="http://schemas.openxmlformats.org/markup-compatibility/2006">
    <mc:Choice xmlns:c14="http://schemas.microsoft.com/office/drawing/2007/8/2/chart" Requires="c14">
      <c14:style val="102"/>
    </mc:Choice>
    <mc:Fallback>
      <c:style val="2"/>
    </mc:Fallback>
  </mc:AlternateContent>
  <c:chart>
    <c:title>
      <c:overlay val="0"/>
      <c:spPr>
        <a:noFill/>
        <a:ln>
          <a:noFill/>
        </a:ln>
        <a:effectLst/>
      </c:spPr>
      <c:txPr>
        <a:bodyPr rot="0" spcFirstLastPara="1" vertOverflow="ellipsis" vert="horz" wrap="square" anchor="ctr" anchorCtr="1"/>
        <a:lstStyle/>
        <a:p>
          <a:pPr>
            <a:defRPr sz="1400" b="0" i="0" u="none" strike="noStrike" kern="1200" spc="0" baseline="0">
              <a:solidFill>
                <a:schemeClr val="tx1">
                  <a:lumMod val="65000"/>
                  <a:lumOff val="35000"/>
                </a:schemeClr>
              </a:solidFill>
              <a:latin typeface="+mn-lt"/>
              <a:ea typeface="+mn-ea"/>
              <a:cs typeface="+mn-cs"/>
            </a:defRPr>
          </a:pPr>
          <a:endParaRPr lang="fr-FR"/>
        </a:p>
      </c:txPr>
    </c:title>
    <c:autoTitleDeleted val="0"/>
    <c:plotArea>
      <c:layout/>
      <c:barChart>
        <c:barDir val="col"/>
        <c:grouping val="clustered"/>
        <c:varyColors val="0"/>
        <c:ser>
          <c:idx val="0"/>
          <c:order val="0"/>
          <c:tx>
            <c:strRef>
              <c:f>Feuil1!$I$6</c:f>
              <c:strCache>
                <c:ptCount val="1"/>
                <c:pt idx="0">
                  <c:v>Salaire</c:v>
                </c:pt>
              </c:strCache>
            </c:strRef>
          </c:tx>
          <c:spPr>
            <a:solidFill>
              <a:schemeClr val="accent1"/>
            </a:solidFill>
            <a:ln>
              <a:noFill/>
            </a:ln>
            <a:effectLst/>
          </c:spPr>
          <c:invertIfNegative val="0"/>
          <c:dLbls>
            <c:spPr>
              <a:noFill/>
              <a:ln>
                <a:noFill/>
              </a:ln>
              <a:effectLst/>
            </c:spPr>
            <c:txPr>
              <a:bodyPr rot="0" spcFirstLastPara="1" vertOverflow="ellipsis" vert="horz" wrap="square" lIns="38100" tIns="19050" rIns="38100" bIns="19050" anchor="ctr" anchorCtr="1">
                <a:spAutoFit/>
              </a:bodyPr>
              <a:lstStyle/>
              <a:p>
                <a:pPr>
                  <a:defRPr sz="900" b="0" i="0" u="none" strike="noStrike" kern="1200" baseline="0">
                    <a:solidFill>
                      <a:schemeClr val="tx1">
                        <a:lumMod val="75000"/>
                        <a:lumOff val="25000"/>
                      </a:schemeClr>
                    </a:solidFill>
                    <a:latin typeface="+mn-lt"/>
                    <a:ea typeface="+mn-ea"/>
                    <a:cs typeface="+mn-cs"/>
                  </a:defRPr>
                </a:pPr>
                <a:endParaRPr lang="fr-FR"/>
              </a:p>
            </c:txPr>
            <c:dLblPos val="outEnd"/>
            <c:showLegendKey val="0"/>
            <c:showVal val="1"/>
            <c:showCatName val="0"/>
            <c:showSerName val="0"/>
            <c:showPercent val="0"/>
            <c:showBubbleSize val="0"/>
            <c:showLeaderLines val="0"/>
            <c:extLst>
              <c:ext xmlns:c15="http://schemas.microsoft.com/office/drawing/2012/chart" uri="{CE6537A1-D6FC-4f65-9D91-7224C49458BB}">
                <c15:showLeaderLines val="0"/>
              </c:ext>
            </c:extLst>
          </c:dLbls>
          <c:cat>
            <c:strRef>
              <c:f>Feuil1!$E$7:$E$12</c:f>
              <c:strCache>
                <c:ptCount val="6"/>
                <c:pt idx="0">
                  <c:v>Ait Omar</c:v>
                </c:pt>
                <c:pt idx="1">
                  <c:v>Mansouri</c:v>
                </c:pt>
                <c:pt idx="2">
                  <c:v>Chahidi</c:v>
                </c:pt>
                <c:pt idx="3">
                  <c:v>Tahiri</c:v>
                </c:pt>
                <c:pt idx="4">
                  <c:v>Zarrouk</c:v>
                </c:pt>
                <c:pt idx="5">
                  <c:v>Berrada</c:v>
                </c:pt>
              </c:strCache>
            </c:strRef>
          </c:cat>
          <c:val>
            <c:numRef>
              <c:f>Feuil1!$I$7:$I$12</c:f>
              <c:numCache>
                <c:formatCode>_ * #,##0.00_)"DH"_ ;_ * \(#,##0.00\)"DH"_ ;_ * "-"??_)"DH"_ ;_ @_ </c:formatCode>
                <c:ptCount val="6"/>
                <c:pt idx="0">
                  <c:v>28820</c:v>
                </c:pt>
                <c:pt idx="1">
                  <c:v>10686</c:v>
                </c:pt>
                <c:pt idx="2">
                  <c:v>10557</c:v>
                </c:pt>
                <c:pt idx="3">
                  <c:v>29155</c:v>
                </c:pt>
                <c:pt idx="4">
                  <c:v>17016</c:v>
                </c:pt>
                <c:pt idx="5">
                  <c:v>38368</c:v>
                </c:pt>
              </c:numCache>
            </c:numRef>
          </c:val>
          <c:extLst>
            <c:ext xmlns:c16="http://schemas.microsoft.com/office/drawing/2014/chart" uri="{C3380CC4-5D6E-409C-BE32-E72D297353CC}">
              <c16:uniqueId val="{00000000-91DB-45BC-9653-ADF5D0EB4E67}"/>
            </c:ext>
          </c:extLst>
        </c:ser>
        <c:dLbls>
          <c:showLegendKey val="0"/>
          <c:showVal val="0"/>
          <c:showCatName val="0"/>
          <c:showSerName val="0"/>
          <c:showPercent val="0"/>
          <c:showBubbleSize val="0"/>
        </c:dLbls>
        <c:gapWidth val="219"/>
        <c:overlap val="-27"/>
        <c:axId val="1437680815"/>
        <c:axId val="1"/>
      </c:barChart>
      <c:catAx>
        <c:axId val="1437680815"/>
        <c:scaling>
          <c:orientation val="minMax"/>
        </c:scaling>
        <c:delete val="0"/>
        <c:axPos val="b"/>
        <c:title>
          <c:overlay val="0"/>
          <c:spPr>
            <a:noFill/>
            <a:ln>
              <a:noFill/>
            </a:ln>
            <a:effectLst/>
          </c:spPr>
          <c:txPr>
            <a:bodyPr rot="0" spcFirstLastPara="1" vertOverflow="ellipsis" vert="horz" wrap="square" anchor="ctr" anchorCtr="1"/>
            <a:lstStyle/>
            <a:p>
              <a:pPr>
                <a:defRPr sz="1000" b="0" i="0" u="none" strike="noStrike" kern="1200" baseline="0">
                  <a:solidFill>
                    <a:schemeClr val="tx1">
                      <a:lumMod val="65000"/>
                      <a:lumOff val="35000"/>
                    </a:schemeClr>
                  </a:solidFill>
                  <a:latin typeface="+mn-lt"/>
                  <a:ea typeface="+mn-ea"/>
                  <a:cs typeface="+mn-cs"/>
                </a:defRPr>
              </a:pPr>
              <a:endParaRPr lang="fr-FR"/>
            </a:p>
          </c:txPr>
        </c:title>
        <c:numFmt formatCode="General" sourceLinked="1"/>
        <c:majorTickMark val="none"/>
        <c:minorTickMark val="none"/>
        <c:tickLblPos val="nextTo"/>
        <c:spPr>
          <a:noFill/>
          <a:ln w="9525" cap="flat" cmpd="sng" algn="ctr">
            <a:solidFill>
              <a:schemeClr val="tx1">
                <a:lumMod val="15000"/>
                <a:lumOff val="85000"/>
              </a:schemeClr>
            </a:solidFill>
            <a:round/>
          </a:ln>
          <a:effectLst/>
        </c:spPr>
        <c:txPr>
          <a:bodyPr rot="-60000000" spcFirstLastPara="1" vertOverflow="ellipsis" vert="horz" wrap="square" anchor="ctr" anchorCtr="1"/>
          <a:lstStyle/>
          <a:p>
            <a:pPr>
              <a:defRPr sz="900" b="0" i="0" u="none" strike="noStrike" kern="1200" baseline="0">
                <a:solidFill>
                  <a:schemeClr val="tx1">
                    <a:lumMod val="65000"/>
                    <a:lumOff val="35000"/>
                  </a:schemeClr>
                </a:solidFill>
                <a:latin typeface="+mn-lt"/>
                <a:ea typeface="+mn-ea"/>
                <a:cs typeface="+mn-cs"/>
              </a:defRPr>
            </a:pPr>
            <a:endParaRPr lang="fr-FR"/>
          </a:p>
        </c:txPr>
        <c:crossAx val="1"/>
        <c:crosses val="autoZero"/>
        <c:auto val="1"/>
        <c:lblAlgn val="ctr"/>
        <c:lblOffset val="100"/>
        <c:noMultiLvlLbl val="0"/>
      </c:catAx>
      <c:valAx>
        <c:axId val="1"/>
        <c:scaling>
          <c:orientation val="minMax"/>
        </c:scaling>
        <c:delete val="0"/>
        <c:axPos val="l"/>
        <c:majorGridlines>
          <c:spPr>
            <a:ln w="9525" cap="flat" cmpd="sng" algn="ctr">
              <a:solidFill>
                <a:schemeClr val="tx1">
                  <a:lumMod val="15000"/>
                  <a:lumOff val="85000"/>
                </a:schemeClr>
              </a:solidFill>
              <a:round/>
            </a:ln>
            <a:effectLst/>
          </c:spPr>
        </c:majorGridlines>
        <c:numFmt formatCode="_ * #,##0.00_)&quot;DH&quot;_ ;_ * \(#,##0.00\)&quot;DH&quot;_ ;_ * &quot;-&quot;??_)&quot;DH&quot;_ ;_ @_ " sourceLinked="1"/>
        <c:majorTickMark val="none"/>
        <c:minorTickMark val="none"/>
        <c:tickLblPos val="nextTo"/>
        <c:spPr>
          <a:noFill/>
          <a:ln>
            <a:noFill/>
          </a:ln>
          <a:effectLst/>
        </c:spPr>
        <c:txPr>
          <a:bodyPr rot="-60000000" spcFirstLastPara="1" vertOverflow="ellipsis" vert="horz" wrap="square" anchor="ctr" anchorCtr="1"/>
          <a:lstStyle/>
          <a:p>
            <a:pPr>
              <a:defRPr sz="900" b="0" i="0" u="none" strike="noStrike" kern="1200" baseline="0">
                <a:solidFill>
                  <a:schemeClr val="tx1">
                    <a:lumMod val="65000"/>
                    <a:lumOff val="35000"/>
                  </a:schemeClr>
                </a:solidFill>
                <a:latin typeface="+mn-lt"/>
                <a:ea typeface="+mn-ea"/>
                <a:cs typeface="+mn-cs"/>
              </a:defRPr>
            </a:pPr>
            <a:endParaRPr lang="fr-FR"/>
          </a:p>
        </c:txPr>
        <c:crossAx val="1437680815"/>
        <c:crosses val="autoZero"/>
        <c:crossBetween val="between"/>
      </c:valAx>
      <c:spPr>
        <a:noFill/>
        <a:ln w="25400">
          <a:noFill/>
        </a:ln>
      </c:spPr>
    </c:plotArea>
    <c:legend>
      <c:legendPos val="b"/>
      <c:overlay val="0"/>
      <c:spPr>
        <a:noFill/>
        <a:ln>
          <a:noFill/>
        </a:ln>
        <a:effectLst/>
      </c:spPr>
      <c:txPr>
        <a:bodyPr rot="0" spcFirstLastPara="1" vertOverflow="ellipsis" vert="horz" wrap="square" anchor="ctr" anchorCtr="1"/>
        <a:lstStyle/>
        <a:p>
          <a:pPr>
            <a:defRPr sz="900" b="0" i="0" u="none" strike="noStrike" kern="1200" baseline="0">
              <a:solidFill>
                <a:schemeClr val="tx1">
                  <a:lumMod val="65000"/>
                  <a:lumOff val="35000"/>
                </a:schemeClr>
              </a:solidFill>
              <a:latin typeface="+mn-lt"/>
              <a:ea typeface="+mn-ea"/>
              <a:cs typeface="+mn-cs"/>
            </a:defRPr>
          </a:pPr>
          <a:endParaRPr lang="fr-FR"/>
        </a:p>
      </c:txPr>
    </c:legend>
    <c:plotVisOnly val="1"/>
    <c:dispBlanksAs val="gap"/>
    <c:showDLblsOverMax val="0"/>
  </c:chart>
  <c:spPr>
    <a:solidFill>
      <a:schemeClr val="bg1"/>
    </a:solidFill>
    <a:ln w="9525" cap="flat" cmpd="sng" algn="ctr">
      <a:solidFill>
        <a:schemeClr val="tx1">
          <a:lumMod val="15000"/>
          <a:lumOff val="85000"/>
        </a:schemeClr>
      </a:solidFill>
      <a:round/>
    </a:ln>
    <a:effectLst/>
  </c:spPr>
  <c:txPr>
    <a:bodyPr/>
    <a:lstStyle/>
    <a:p>
      <a:pPr>
        <a:defRPr/>
      </a:pPr>
      <a:endParaRPr lang="fr-FR"/>
    </a:p>
  </c:txPr>
</c:chartSpace>
</file>

<file path=xl/charts/chart2.xml><?xml version="1.0" encoding="utf-8"?>
<c:chartSpace xmlns:c="http://schemas.openxmlformats.org/drawingml/2006/chart" xmlns:a="http://schemas.openxmlformats.org/drawingml/2006/main" xmlns:r="http://schemas.openxmlformats.org/officeDocument/2006/relationships" xmlns:c16r2="http://schemas.microsoft.com/office/drawing/2015/06/chart">
  <c:date1904 val="0"/>
  <c:lang val="en-US"/>
  <c:roundedCorners val="0"/>
  <mc:AlternateContent xmlns:mc="http://schemas.openxmlformats.org/markup-compatibility/2006">
    <mc:Choice xmlns:c14="http://schemas.microsoft.com/office/drawing/2007/8/2/chart" Requires="c14">
      <c14:style val="102"/>
    </mc:Choice>
    <mc:Fallback>
      <c:style val="2"/>
    </mc:Fallback>
  </mc:AlternateContent>
  <c:chart>
    <c:title>
      <c:overlay val="0"/>
      <c:spPr>
        <a:noFill/>
        <a:ln>
          <a:noFill/>
        </a:ln>
        <a:effectLst/>
      </c:spPr>
      <c:txPr>
        <a:bodyPr rot="0" spcFirstLastPara="1" vertOverflow="ellipsis" vert="horz" wrap="square" anchor="ctr" anchorCtr="1"/>
        <a:lstStyle/>
        <a:p>
          <a:pPr>
            <a:defRPr sz="1400" b="0" i="0" u="none" strike="noStrike" kern="1200" spc="0" baseline="0">
              <a:solidFill>
                <a:schemeClr val="tx1">
                  <a:lumMod val="65000"/>
                  <a:lumOff val="35000"/>
                </a:schemeClr>
              </a:solidFill>
              <a:latin typeface="+mn-lt"/>
              <a:ea typeface="+mn-ea"/>
              <a:cs typeface="+mn-cs"/>
            </a:defRPr>
          </a:pPr>
          <a:endParaRPr lang="fr-FR"/>
        </a:p>
      </c:txPr>
    </c:title>
    <c:autoTitleDeleted val="0"/>
    <c:plotArea>
      <c:layout/>
      <c:lineChart>
        <c:grouping val="standard"/>
        <c:varyColors val="0"/>
        <c:ser>
          <c:idx val="0"/>
          <c:order val="0"/>
          <c:tx>
            <c:strRef>
              <c:f>Feuil1!$M$6</c:f>
              <c:strCache>
                <c:ptCount val="1"/>
                <c:pt idx="0">
                  <c:v>Ancienneté</c:v>
                </c:pt>
              </c:strCache>
            </c:strRef>
          </c:tx>
          <c:spPr>
            <a:ln w="28575" cap="rnd">
              <a:solidFill>
                <a:schemeClr val="accent1"/>
              </a:solidFill>
              <a:round/>
            </a:ln>
            <a:effectLst/>
          </c:spPr>
          <c:marker>
            <c:symbol val="none"/>
          </c:marker>
          <c:dLbls>
            <c:spPr>
              <a:noFill/>
              <a:ln>
                <a:noFill/>
              </a:ln>
              <a:effectLst/>
            </c:spPr>
            <c:txPr>
              <a:bodyPr rot="0" spcFirstLastPara="1" vertOverflow="ellipsis" vert="horz" wrap="square" lIns="38100" tIns="19050" rIns="38100" bIns="19050" anchor="ctr" anchorCtr="1">
                <a:spAutoFit/>
              </a:bodyPr>
              <a:lstStyle/>
              <a:p>
                <a:pPr>
                  <a:defRPr sz="900" b="0" i="0" u="none" strike="noStrike" kern="1200" baseline="0">
                    <a:solidFill>
                      <a:schemeClr val="tx1">
                        <a:lumMod val="75000"/>
                        <a:lumOff val="25000"/>
                      </a:schemeClr>
                    </a:solidFill>
                    <a:latin typeface="+mn-lt"/>
                    <a:ea typeface="+mn-ea"/>
                    <a:cs typeface="+mn-cs"/>
                  </a:defRPr>
                </a:pPr>
                <a:endParaRPr lang="fr-FR"/>
              </a:p>
            </c:txPr>
            <c:dLblPos val="t"/>
            <c:showLegendKey val="0"/>
            <c:showVal val="1"/>
            <c:showCatName val="0"/>
            <c:showSerName val="0"/>
            <c:showPercent val="0"/>
            <c:showBubbleSize val="0"/>
            <c:showLeaderLines val="0"/>
            <c:extLst>
              <c:ext xmlns:c15="http://schemas.microsoft.com/office/drawing/2012/chart" uri="{CE6537A1-D6FC-4f65-9D91-7224C49458BB}">
                <c15:showLeaderLines val="0"/>
              </c:ext>
            </c:extLst>
          </c:dLbls>
          <c:cat>
            <c:strRef>
              <c:f>Feuil1!$E$7:$E$12</c:f>
              <c:strCache>
                <c:ptCount val="6"/>
                <c:pt idx="0">
                  <c:v>Ait Omar</c:v>
                </c:pt>
                <c:pt idx="1">
                  <c:v>Mansouri</c:v>
                </c:pt>
                <c:pt idx="2">
                  <c:v>Chahidi</c:v>
                </c:pt>
                <c:pt idx="3">
                  <c:v>Tahiri</c:v>
                </c:pt>
                <c:pt idx="4">
                  <c:v>Zarrouk</c:v>
                </c:pt>
                <c:pt idx="5">
                  <c:v>Berrada</c:v>
                </c:pt>
              </c:strCache>
            </c:strRef>
          </c:cat>
          <c:val>
            <c:numRef>
              <c:f>Feuil1!$M$7:$M$12</c:f>
              <c:numCache>
                <c:formatCode>General</c:formatCode>
                <c:ptCount val="6"/>
                <c:pt idx="0">
                  <c:v>0</c:v>
                </c:pt>
                <c:pt idx="1">
                  <c:v>35</c:v>
                </c:pt>
                <c:pt idx="2">
                  <c:v>20</c:v>
                </c:pt>
                <c:pt idx="3">
                  <c:v>18</c:v>
                </c:pt>
                <c:pt idx="4">
                  <c:v>7</c:v>
                </c:pt>
                <c:pt idx="5">
                  <c:v>35</c:v>
                </c:pt>
              </c:numCache>
            </c:numRef>
          </c:val>
          <c:smooth val="0"/>
          <c:extLst>
            <c:ext xmlns:c16="http://schemas.microsoft.com/office/drawing/2014/chart" uri="{C3380CC4-5D6E-409C-BE32-E72D297353CC}">
              <c16:uniqueId val="{00000000-6F6E-4A8D-A507-96C447C1A42E}"/>
            </c:ext>
          </c:extLst>
        </c:ser>
        <c:dLbls>
          <c:showLegendKey val="0"/>
          <c:showVal val="0"/>
          <c:showCatName val="0"/>
          <c:showSerName val="0"/>
          <c:showPercent val="0"/>
          <c:showBubbleSize val="0"/>
        </c:dLbls>
        <c:smooth val="0"/>
        <c:axId val="1437687615"/>
        <c:axId val="1"/>
      </c:lineChart>
      <c:catAx>
        <c:axId val="1437687615"/>
        <c:scaling>
          <c:orientation val="minMax"/>
        </c:scaling>
        <c:delete val="0"/>
        <c:axPos val="b"/>
        <c:numFmt formatCode="General" sourceLinked="1"/>
        <c:majorTickMark val="none"/>
        <c:minorTickMark val="none"/>
        <c:tickLblPos val="nextTo"/>
        <c:spPr>
          <a:noFill/>
          <a:ln w="9525" cap="flat" cmpd="sng" algn="ctr">
            <a:solidFill>
              <a:schemeClr val="tx1">
                <a:lumMod val="15000"/>
                <a:lumOff val="85000"/>
              </a:schemeClr>
            </a:solidFill>
            <a:round/>
          </a:ln>
          <a:effectLst/>
        </c:spPr>
        <c:txPr>
          <a:bodyPr rot="-60000000" spcFirstLastPara="1" vertOverflow="ellipsis" vert="horz" wrap="square" anchor="ctr" anchorCtr="1"/>
          <a:lstStyle/>
          <a:p>
            <a:pPr>
              <a:defRPr sz="900" b="0" i="0" u="none" strike="noStrike" kern="1200" baseline="0">
                <a:solidFill>
                  <a:schemeClr val="tx1">
                    <a:lumMod val="65000"/>
                    <a:lumOff val="35000"/>
                  </a:schemeClr>
                </a:solidFill>
                <a:latin typeface="+mn-lt"/>
                <a:ea typeface="+mn-ea"/>
                <a:cs typeface="+mn-cs"/>
              </a:defRPr>
            </a:pPr>
            <a:endParaRPr lang="fr-FR"/>
          </a:p>
        </c:txPr>
        <c:crossAx val="1"/>
        <c:crosses val="autoZero"/>
        <c:auto val="1"/>
        <c:lblAlgn val="ctr"/>
        <c:lblOffset val="100"/>
        <c:noMultiLvlLbl val="0"/>
      </c:catAx>
      <c:valAx>
        <c:axId val="1"/>
        <c:scaling>
          <c:orientation val="minMax"/>
        </c:scaling>
        <c:delete val="0"/>
        <c:axPos val="l"/>
        <c:majorGridlines>
          <c:spPr>
            <a:ln w="9525" cap="flat" cmpd="sng" algn="ctr">
              <a:solidFill>
                <a:schemeClr val="tx1">
                  <a:lumMod val="15000"/>
                  <a:lumOff val="85000"/>
                </a:schemeClr>
              </a:solidFill>
              <a:round/>
            </a:ln>
            <a:effectLst/>
          </c:spPr>
        </c:majorGridlines>
        <c:numFmt formatCode="General" sourceLinked="1"/>
        <c:majorTickMark val="none"/>
        <c:minorTickMark val="none"/>
        <c:tickLblPos val="nextTo"/>
        <c:spPr>
          <a:noFill/>
          <a:ln>
            <a:noFill/>
          </a:ln>
          <a:effectLst/>
        </c:spPr>
        <c:txPr>
          <a:bodyPr rot="-60000000" spcFirstLastPara="1" vertOverflow="ellipsis" vert="horz" wrap="square" anchor="ctr" anchorCtr="1"/>
          <a:lstStyle/>
          <a:p>
            <a:pPr>
              <a:defRPr sz="900" b="0" i="0" u="none" strike="noStrike" kern="1200" baseline="0">
                <a:solidFill>
                  <a:schemeClr val="tx1">
                    <a:lumMod val="65000"/>
                    <a:lumOff val="35000"/>
                  </a:schemeClr>
                </a:solidFill>
                <a:latin typeface="+mn-lt"/>
                <a:ea typeface="+mn-ea"/>
                <a:cs typeface="+mn-cs"/>
              </a:defRPr>
            </a:pPr>
            <a:endParaRPr lang="fr-FR"/>
          </a:p>
        </c:txPr>
        <c:crossAx val="1437687615"/>
        <c:crosses val="autoZero"/>
        <c:crossBetween val="between"/>
      </c:valAx>
      <c:spPr>
        <a:noFill/>
        <a:ln w="25400">
          <a:noFill/>
        </a:ln>
      </c:spPr>
    </c:plotArea>
    <c:plotVisOnly val="1"/>
    <c:dispBlanksAs val="gap"/>
    <c:showDLblsOverMax val="0"/>
  </c:chart>
  <c:spPr>
    <a:solidFill>
      <a:schemeClr val="bg1"/>
    </a:solidFill>
    <a:ln w="9525" cap="flat" cmpd="sng" algn="ctr">
      <a:solidFill>
        <a:schemeClr val="tx1">
          <a:lumMod val="15000"/>
          <a:lumOff val="85000"/>
        </a:schemeClr>
      </a:solidFill>
      <a:round/>
    </a:ln>
    <a:effectLst/>
  </c:spPr>
  <c:txPr>
    <a:bodyPr/>
    <a:lstStyle/>
    <a:p>
      <a:pPr>
        <a:defRPr/>
      </a:pPr>
      <a:endParaRPr lang="fr-FR"/>
    </a:p>
  </c:txPr>
</c:chartSpace>
</file>

<file path=xl/chartsheets/_rels/sheet1.xml.rels><?xml version="1.0" encoding="UTF-8" standalone="yes"?>
<Relationships xmlns="http://schemas.openxmlformats.org/package/2006/relationships"><Relationship Id="rId1" Type="http://schemas.openxmlformats.org/officeDocument/2006/relationships/drawing" Target="../drawings/drawing1.xml"/></Relationships>
</file>

<file path=xl/chartsheets/_rels/sheet2.xml.rels><?xml version="1.0" encoding="UTF-8" standalone="yes"?>
<Relationships xmlns="http://schemas.openxmlformats.org/package/2006/relationships"><Relationship Id="rId1" Type="http://schemas.openxmlformats.org/officeDocument/2006/relationships/drawing" Target="../drawings/drawing2.xml"/></Relationships>
</file>

<file path=xl/chartsheets/sheet1.xml><?xml version="1.0" encoding="utf-8"?>
<chartsheet xmlns="http://schemas.openxmlformats.org/spreadsheetml/2006/main" xmlns:r="http://schemas.openxmlformats.org/officeDocument/2006/relationships" xmlns:mc="http://schemas.openxmlformats.org/markup-compatibility/2006" xmlns:xr="http://schemas.microsoft.com/office/spreadsheetml/2014/revision" xmlns:xr3="http://schemas.microsoft.com/office/spreadsheetml/2016/revision3" mc:Ignorable="xr xr3" xr:uid="{00000000-0001-0000-0000-000000000000}">
  <sheetPr/>
  <sheetViews>
    <sheetView zoomScale="113" workbookViewId="0"/>
  </sheetViews>
  <pageMargins left="0.7" right="0.7" top="0.75" bottom="0.75" header="0.3" footer="0.3"/>
  <drawing r:id="rId1"/>
</chartsheet>
</file>

<file path=xl/chartsheets/sheet2.xml><?xml version="1.0" encoding="utf-8"?>
<chartsheet xmlns="http://schemas.openxmlformats.org/spreadsheetml/2006/main" xmlns:r="http://schemas.openxmlformats.org/officeDocument/2006/relationships" xmlns:mc="http://schemas.openxmlformats.org/markup-compatibility/2006" xmlns:xr="http://schemas.microsoft.com/office/spreadsheetml/2014/revision" xmlns:xr3="http://schemas.microsoft.com/office/spreadsheetml/2016/revision3" mc:Ignorable="xr xr3" xr:uid="{00000000-0001-0000-0100-000000000000}">
  <sheetPr/>
  <sheetViews>
    <sheetView zoomScale="113" workbookViewId="0"/>
  </sheetViews>
  <pageMargins left="0.7" right="0.7" top="0.75" bottom="0.75" header="0.3" footer="0.3"/>
  <drawing r:id="rId1"/>
</chartsheet>
</file>

<file path=xl/drawings/_rels/drawing1.xml.rels><?xml version="1.0" encoding="UTF-8" standalone="yes"?>
<Relationships xmlns="http://schemas.openxmlformats.org/package/2006/relationships"><Relationship Id="rId1" Type="http://schemas.openxmlformats.org/officeDocument/2006/relationships/chart" Target="../charts/chart1.xml"/></Relationships>
</file>

<file path=xl/drawings/_rels/drawing2.xml.rels><?xml version="1.0" encoding="UTF-8" standalone="yes"?>
<Relationships xmlns="http://schemas.openxmlformats.org/package/2006/relationships"><Relationship Id="rId1" Type="http://schemas.openxmlformats.org/officeDocument/2006/relationships/chart" Target="../charts/chart2.xml"/></Relationships>
</file>

<file path=xl/drawings/drawing1.xml><?xml version="1.0" encoding="utf-8"?>
<xdr:wsDr xmlns:xdr="http://schemas.openxmlformats.org/drawingml/2006/spreadsheetDrawing" xmlns:a="http://schemas.openxmlformats.org/drawingml/2006/main">
  <xdr:absoluteAnchor>
    <xdr:pos x="0" y="0"/>
    <xdr:ext cx="8648700" cy="6267450"/>
    <xdr:graphicFrame macro="">
      <xdr:nvGraphicFramePr>
        <xdr:cNvPr id="2" name="Graphique 1">
          <a:extLst>
            <a:ext uri="{FF2B5EF4-FFF2-40B4-BE49-F238E27FC236}">
              <a16:creationId xmlns:a16="http://schemas.microsoft.com/office/drawing/2014/main" id="{2459A75D-AA75-461A-90D2-DA8E5FB70485}"/>
            </a:ext>
          </a:extLst>
        </xdr:cNvPr>
        <xdr:cNvGraphicFramePr>
          <a:graphicFrameLocks noGrp="1"/>
        </xdr:cNvGraphicFramePr>
      </xdr:nvGraphicFramePr>
      <xdr:xfrm>
        <a:off x="0" y="0"/>
        <a:ext cx="0" cy="0"/>
      </xdr:xfrm>
      <a:graphic>
        <a:graphicData uri="http://schemas.openxmlformats.org/drawingml/2006/chart">
          <c:chart xmlns:c="http://schemas.openxmlformats.org/drawingml/2006/chart" xmlns:r="http://schemas.openxmlformats.org/officeDocument/2006/relationships" r:id="rId1"/>
        </a:graphicData>
      </a:graphic>
    </xdr:graphicFrame>
    <xdr:clientData/>
  </xdr:absoluteAnchor>
</xdr:wsDr>
</file>

<file path=xl/drawings/drawing2.xml><?xml version="1.0" encoding="utf-8"?>
<xdr:wsDr xmlns:xdr="http://schemas.openxmlformats.org/drawingml/2006/spreadsheetDrawing" xmlns:a="http://schemas.openxmlformats.org/drawingml/2006/main">
  <xdr:absoluteAnchor>
    <xdr:pos x="0" y="0"/>
    <xdr:ext cx="8658225" cy="6286500"/>
    <xdr:graphicFrame macro="">
      <xdr:nvGraphicFramePr>
        <xdr:cNvPr id="2" name="Graphique 1">
          <a:extLst>
            <a:ext uri="{FF2B5EF4-FFF2-40B4-BE49-F238E27FC236}">
              <a16:creationId xmlns:a16="http://schemas.microsoft.com/office/drawing/2014/main" id="{8B61ECCB-50F1-4D41-82F0-E4F842CF026E}"/>
            </a:ext>
          </a:extLst>
        </xdr:cNvPr>
        <xdr:cNvGraphicFramePr>
          <a:graphicFrameLocks noGrp="1"/>
        </xdr:cNvGraphicFramePr>
      </xdr:nvGraphicFramePr>
      <xdr:xfrm>
        <a:off x="0" y="0"/>
        <a:ext cx="0" cy="0"/>
      </xdr:xfrm>
      <a:graphic>
        <a:graphicData uri="http://schemas.openxmlformats.org/drawingml/2006/chart">
          <c:chart xmlns:c="http://schemas.openxmlformats.org/drawingml/2006/chart" xmlns:r="http://schemas.openxmlformats.org/officeDocument/2006/relationships" r:id="rId1"/>
        </a:graphicData>
      </a:graphic>
    </xdr:graphicFrame>
    <xdr:clientData/>
  </xdr:absoluteAnchor>
</xdr:wsDr>
</file>

<file path=xl/theme/theme1.xml><?xml version="1.0" encoding="utf-8"?>
<a:theme xmlns:a="http://schemas.openxmlformats.org/drawingml/2006/main" name="Office Theme">
  <a:themeElements>
    <a:clrScheme name="Office">
      <a:dk1>
        <a:sysClr val="windowText" lastClr="000000"/>
      </a:dk1>
      <a:lt1>
        <a:sysClr val="window" lastClr="FFFFFF"/>
      </a:lt1>
      <a:dk2>
        <a:srgbClr val="44546A"/>
      </a:dk2>
      <a:lt2>
        <a:srgbClr val="E7E6E6"/>
      </a:lt2>
      <a:accent1>
        <a:srgbClr val="4472C4"/>
      </a:accent1>
      <a:accent2>
        <a:srgbClr val="ED7D31"/>
      </a:accent2>
      <a:accent3>
        <a:srgbClr val="A5A5A5"/>
      </a:accent3>
      <a:accent4>
        <a:srgbClr val="FFC000"/>
      </a:accent4>
      <a:accent5>
        <a:srgbClr val="5B9BD5"/>
      </a:accent5>
      <a:accent6>
        <a:srgbClr val="70AD47"/>
      </a:accent6>
      <a:hlink>
        <a:srgbClr val="0563C1"/>
      </a:hlink>
      <a:folHlink>
        <a:srgbClr val="954F72"/>
      </a:folHlink>
    </a:clrScheme>
    <a:fontScheme name="Office">
      <a:majorFont>
        <a:latin typeface="Calibri Light" panose="020F0302020204030204"/>
        <a:ea typeface=""/>
        <a:cs typeface=""/>
        <a:font script="Jpan" typeface="游ゴシック Light"/>
        <a:font script="Hang" typeface="맑은 고딕"/>
        <a:font script="Hans" typeface="等线 Light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  <a:font script="Geor" typeface="Sylfaen"/>
        <a:font script="Armn" typeface="Arial"/>
        <a:font script="Bugi" typeface="Leelawadee UI"/>
        <a:font script="Bopo" typeface="Microsoft JhengHei"/>
        <a:font script="Java" typeface="Javanese Text"/>
        <a:font script="Lisu" typeface="Segoe UI"/>
        <a:font script="Mymr" typeface="Myanmar Text"/>
        <a:font script="Nkoo" typeface="Ebrima"/>
        <a:font script="Olck" typeface="Nirmala UI"/>
        <a:font script="Osma" typeface="Ebrima"/>
        <a:font script="Phag" typeface="Phagspa"/>
        <a:font script="Syrn" typeface="Estrangelo Edessa"/>
        <a:font script="Syrj" typeface="Estrangelo Edessa"/>
        <a:font script="Syre" typeface="Estrangelo Edessa"/>
        <a:font script="Sora" typeface="Nirmala UI"/>
        <a:font script="Tale" typeface="Microsoft Tai Le"/>
        <a:font script="Talu" typeface="Microsoft New Tai Lue"/>
        <a:font script="Tfng" typeface="Ebrima"/>
      </a:majorFont>
      <a:minorFont>
        <a:latin typeface="Calibri" panose="020F0502020204030204"/>
        <a:ea typeface=""/>
        <a:cs typeface=""/>
        <a:font script="Jpan" typeface="游ゴシック"/>
        <a:font script="Hang" typeface="맑은 고딕"/>
        <a:font script="Hans" typeface="等线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  <a:font script="Geor" typeface="Sylfaen"/>
        <a:font script="Armn" typeface="Arial"/>
        <a:font script="Bugi" typeface="Leelawadee UI"/>
        <a:font script="Bopo" typeface="Microsoft JhengHei"/>
        <a:font script="Java" typeface="Javanese Text"/>
        <a:font script="Lisu" typeface="Segoe UI"/>
        <a:font script="Mymr" typeface="Myanmar Text"/>
        <a:font script="Nkoo" typeface="Ebrima"/>
        <a:font script="Olck" typeface="Nirmala UI"/>
        <a:font script="Osma" typeface="Ebrima"/>
        <a:font script="Phag" typeface="Phagspa"/>
        <a:font script="Syrn" typeface="Estrangelo Edessa"/>
        <a:font script="Syrj" typeface="Estrangelo Edessa"/>
        <a:font script="Syre" typeface="Estrangelo Edessa"/>
        <a:font script="Sora" typeface="Nirmala UI"/>
        <a:font script="Tale" typeface="Microsoft Tai Le"/>
        <a:font script="Talu" typeface="Microsoft New Tai Lue"/>
        <a:font script="Tfng" typeface="Ebrima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lumMod val="110000"/>
                <a:satMod val="105000"/>
                <a:tint val="67000"/>
              </a:schemeClr>
            </a:gs>
            <a:gs pos="50000">
              <a:schemeClr val="phClr">
                <a:lumMod val="105000"/>
                <a:satMod val="103000"/>
                <a:tint val="73000"/>
              </a:schemeClr>
            </a:gs>
            <a:gs pos="100000">
              <a:schemeClr val="phClr">
                <a:lumMod val="105000"/>
                <a:satMod val="109000"/>
                <a:tint val="81000"/>
              </a:schemeClr>
            </a:gs>
          </a:gsLst>
          <a:lin ang="5400000" scaled="0"/>
        </a:gradFill>
        <a:gradFill rotWithShape="1">
          <a:gsLst>
            <a:gs pos="0">
              <a:schemeClr val="phClr">
                <a:satMod val="103000"/>
                <a:lumMod val="102000"/>
                <a:tint val="94000"/>
              </a:schemeClr>
            </a:gs>
            <a:gs pos="50000">
              <a:schemeClr val="phClr">
                <a:satMod val="110000"/>
                <a:lumMod val="100000"/>
                <a:shade val="100000"/>
              </a:schemeClr>
            </a:gs>
            <a:gs pos="100000">
              <a:schemeClr val="phClr">
                <a:lumMod val="99000"/>
                <a:satMod val="120000"/>
                <a:shade val="78000"/>
              </a:schemeClr>
            </a:gs>
          </a:gsLst>
          <a:lin ang="5400000" scaled="0"/>
        </a:gradFill>
      </a:fillStyleLst>
      <a:lnStyleLst>
        <a:ln w="6350" cap="flat" cmpd="sng" algn="ctr">
          <a:solidFill>
            <a:schemeClr val="phClr"/>
          </a:solidFill>
          <a:prstDash val="solid"/>
          <a:miter lim="800000"/>
        </a:ln>
        <a:ln w="12700" cap="flat" cmpd="sng" algn="ctr">
          <a:solidFill>
            <a:schemeClr val="phClr"/>
          </a:solidFill>
          <a:prstDash val="solid"/>
          <a:miter lim="800000"/>
        </a:ln>
        <a:ln w="19050" cap="flat" cmpd="sng" algn="ctr">
          <a:solidFill>
            <a:schemeClr val="phClr"/>
          </a:solidFill>
          <a:prstDash val="solid"/>
          <a:miter lim="800000"/>
        </a:ln>
      </a:lnStyleLst>
      <a:effectStyleLst>
        <a:effectStyle>
          <a:effectLst/>
        </a:effectStyle>
        <a:effectStyle>
          <a:effectLst/>
        </a:effectStyle>
        <a:effectStyle>
          <a:effectLst>
            <a:outerShdw blurRad="57150" dist="19050" dir="5400000" algn="ctr" rotWithShape="0">
              <a:srgbClr val="000000">
                <a:alpha val="63000"/>
              </a:srgbClr>
            </a:outerShdw>
          </a:effectLst>
        </a:effectStyle>
      </a:effectStyleLst>
      <a:bgFillStyleLst>
        <a:solidFill>
          <a:schemeClr val="phClr"/>
        </a:solidFill>
        <a:solidFill>
          <a:schemeClr val="phClr">
            <a:tint val="95000"/>
            <a:satMod val="170000"/>
          </a:schemeClr>
        </a:solidFill>
        <a:gradFill rotWithShape="1">
          <a:gsLst>
            <a:gs pos="0">
              <a:schemeClr val="phClr">
                <a:tint val="93000"/>
                <a:satMod val="150000"/>
                <a:shade val="98000"/>
                <a:lumMod val="102000"/>
              </a:schemeClr>
            </a:gs>
            <a:gs pos="50000">
              <a:schemeClr val="phClr">
                <a:tint val="98000"/>
                <a:satMod val="130000"/>
                <a:shade val="90000"/>
                <a:lumMod val="103000"/>
              </a:schemeClr>
            </a:gs>
            <a:gs pos="100000">
              <a:schemeClr val="phClr">
                <a:shade val="63000"/>
                <a:satMod val="120000"/>
              </a:schemeClr>
            </a:gs>
          </a:gsLst>
          <a:lin ang="5400000" scaled="0"/>
        </a:gradFill>
      </a:bgFillStyleLst>
    </a:fmtScheme>
  </a:themeElements>
  <a:objectDefaults/>
  <a:extraClrSchemeLst/>
  <a:extLst>
    <a:ext uri="{05A4C25C-085E-4340-85A3-A5531E510DB2}">
      <thm15:themeFamily xmlns:thm15="http://schemas.microsoft.com/office/thememl/2012/main" name="Office Theme" id="{62F939B6-93AF-4DB8-9C6B-D6C7DFDC589F}" vid="{4A3C46E8-61CC-4603-A589-7422A47A8E4A}"/>
    </a:ext>
  </a:extLst>
</a:theme>
</file>

<file path=xl/worksheets/_rels/sheet1.xml.rels><?xml version="1.0" encoding="UTF-8" standalone="yes"?>
<Relationships xmlns="http://schemas.openxmlformats.org/package/2006/relationships"><Relationship Id="rId1" Type="http://schemas.openxmlformats.org/officeDocument/2006/relationships/printerSettings" Target="../printerSettings/printerSettings1.bin"/></Relationships>
</file>

<file path=xl/worksheets/sheet1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 xr:uid="{00000000-0001-0000-0200-000000000000}">
  <dimension ref="E5:N20"/>
  <sheetViews>
    <sheetView tabSelected="1" topLeftCell="E4" zoomScale="175" zoomScaleNormal="175" workbookViewId="0">
      <selection activeCell="L7" activeCellId="4" sqref="M7:M12 N7:N12 I15 H20 L7:L12"/>
    </sheetView>
  </sheetViews>
  <sheetFormatPr defaultColWidth="11.42578125" defaultRowHeight="15"/>
  <cols>
    <col min="5" max="15" width="19.140625" customWidth="1"/>
  </cols>
  <sheetData>
    <row r="5" spans="5:14" ht="15.75" thickBot="1"/>
    <row r="6" spans="5:14" ht="16.5" thickBot="1">
      <c r="E6" s="1" t="s">
        <v>0</v>
      </c>
      <c r="F6" s="2" t="s">
        <v>1</v>
      </c>
      <c r="G6" s="2" t="s">
        <v>2</v>
      </c>
      <c r="H6" s="2" t="s">
        <v>3</v>
      </c>
      <c r="I6" s="2" t="s">
        <v>4</v>
      </c>
      <c r="J6" s="2" t="s">
        <v>5</v>
      </c>
      <c r="K6" s="2" t="s">
        <v>6</v>
      </c>
      <c r="L6" s="2" t="s">
        <v>7</v>
      </c>
      <c r="M6" s="2" t="s">
        <v>8</v>
      </c>
      <c r="N6" s="2" t="s">
        <v>9</v>
      </c>
    </row>
    <row r="7" spans="5:14" ht="16.5" thickBot="1">
      <c r="E7" s="3" t="s">
        <v>10</v>
      </c>
      <c r="F7" s="4" t="s">
        <v>11</v>
      </c>
      <c r="G7" s="4" t="s">
        <v>12</v>
      </c>
      <c r="H7" s="5">
        <f t="shared" ref="H7:H12" ca="1" si="0">RANDBETWEEN(DATE(1990,12,1),DATE(2025,1,1))</f>
        <v>44540</v>
      </c>
      <c r="I7" s="7">
        <f t="shared" ref="I7:I12" ca="1" si="1">RANDBETWEEN(10000,50000)</f>
        <v>28820</v>
      </c>
      <c r="J7" s="6">
        <f ca="1">RANDBETWEEN(2,18)/100</f>
        <v>0.03</v>
      </c>
      <c r="K7" s="4">
        <f t="shared" ref="K7:K12" ca="1" si="2">RANDBETWEEN(0,20)</f>
        <v>16</v>
      </c>
      <c r="L7" s="12">
        <f t="shared" ref="L7:L12" ca="1" si="3">I7+I7*J7</f>
        <v>29684.6</v>
      </c>
      <c r="M7" s="11">
        <f>N21</f>
        <v>0</v>
      </c>
      <c r="N7" s="11" t="str">
        <f t="shared" ref="N7:N12" ca="1" si="4">IF(K7&gt;12,"rapide",IF(K7&gt;5,"moyen","lent"))</f>
        <v>rapide</v>
      </c>
    </row>
    <row r="8" spans="5:14" ht="16.5" thickBot="1">
      <c r="E8" s="3" t="s">
        <v>13</v>
      </c>
      <c r="F8" s="4" t="s">
        <v>14</v>
      </c>
      <c r="G8" s="4" t="s">
        <v>15</v>
      </c>
      <c r="H8" s="5">
        <f t="shared" ca="1" si="0"/>
        <v>33328</v>
      </c>
      <c r="I8" s="7">
        <f t="shared" ca="1" si="1"/>
        <v>10686</v>
      </c>
      <c r="J8" s="6">
        <f ca="1">RANDBETWEEN(10,50)/100</f>
        <v>0.15</v>
      </c>
      <c r="K8" s="4">
        <f t="shared" ca="1" si="2"/>
        <v>0</v>
      </c>
      <c r="L8" s="12">
        <f t="shared" ca="1" si="3"/>
        <v>12288.9</v>
      </c>
      <c r="M8" s="11">
        <f ca="1">ROUND((TODAY()-H8)/365,0)</f>
        <v>35</v>
      </c>
      <c r="N8" s="11" t="str">
        <f t="shared" ca="1" si="4"/>
        <v>lent</v>
      </c>
    </row>
    <row r="9" spans="5:14" ht="16.5" thickBot="1">
      <c r="E9" s="3" t="s">
        <v>16</v>
      </c>
      <c r="F9" s="4" t="s">
        <v>17</v>
      </c>
      <c r="G9" s="4" t="s">
        <v>18</v>
      </c>
      <c r="H9" s="5">
        <f t="shared" ca="1" si="0"/>
        <v>38583</v>
      </c>
      <c r="I9" s="7">
        <f t="shared" ca="1" si="1"/>
        <v>10557</v>
      </c>
      <c r="J9" s="6">
        <f ca="1">RANDBETWEEN(10,50)/100</f>
        <v>0.37</v>
      </c>
      <c r="K9" s="4">
        <f t="shared" ca="1" si="2"/>
        <v>3</v>
      </c>
      <c r="L9" s="12">
        <f t="shared" ca="1" si="3"/>
        <v>14463.09</v>
      </c>
      <c r="M9" s="11">
        <f ca="1">ROUND((TODAY()-H9)/365,0)</f>
        <v>20</v>
      </c>
      <c r="N9" s="11" t="str">
        <f t="shared" ca="1" si="4"/>
        <v>lent</v>
      </c>
    </row>
    <row r="10" spans="5:14" ht="16.5" thickBot="1">
      <c r="E10" s="3" t="s">
        <v>19</v>
      </c>
      <c r="F10" s="4" t="s">
        <v>20</v>
      </c>
      <c r="G10" s="4" t="s">
        <v>21</v>
      </c>
      <c r="H10" s="5">
        <f t="shared" ca="1" si="0"/>
        <v>39420</v>
      </c>
      <c r="I10" s="7">
        <f t="shared" ca="1" si="1"/>
        <v>29155</v>
      </c>
      <c r="J10" s="6">
        <f ca="1">RANDBETWEEN(10,50)/100</f>
        <v>0.11</v>
      </c>
      <c r="K10" s="4">
        <f t="shared" ca="1" si="2"/>
        <v>14</v>
      </c>
      <c r="L10" s="12">
        <f t="shared" ca="1" si="3"/>
        <v>32362.05</v>
      </c>
      <c r="M10" s="11">
        <f ca="1">ROUND((TODAY()-H10)/365,0)</f>
        <v>18</v>
      </c>
      <c r="N10" s="11" t="str">
        <f t="shared" ca="1" si="4"/>
        <v>rapide</v>
      </c>
    </row>
    <row r="11" spans="5:14" ht="16.5" thickBot="1">
      <c r="E11" s="3" t="s">
        <v>22</v>
      </c>
      <c r="F11" s="4" t="s">
        <v>23</v>
      </c>
      <c r="G11" s="4" t="s">
        <v>24</v>
      </c>
      <c r="H11" s="5">
        <f t="shared" ca="1" si="0"/>
        <v>43604</v>
      </c>
      <c r="I11" s="7">
        <f t="shared" ca="1" si="1"/>
        <v>17016</v>
      </c>
      <c r="J11" s="6">
        <f ca="1">RANDBETWEEN(10,50)/100</f>
        <v>0.47</v>
      </c>
      <c r="K11" s="4">
        <f t="shared" ca="1" si="2"/>
        <v>8</v>
      </c>
      <c r="L11" s="12">
        <f t="shared" ca="1" si="3"/>
        <v>25013.52</v>
      </c>
      <c r="M11" s="11">
        <f ca="1">ROUND((TODAY()-H11)/365,0)</f>
        <v>7</v>
      </c>
      <c r="N11" s="11" t="str">
        <f t="shared" ca="1" si="4"/>
        <v>moyen</v>
      </c>
    </row>
    <row r="12" spans="5:14" ht="16.5" thickBot="1">
      <c r="E12" s="3" t="s">
        <v>25</v>
      </c>
      <c r="F12" s="4" t="s">
        <v>26</v>
      </c>
      <c r="G12" s="4" t="s">
        <v>15</v>
      </c>
      <c r="H12" s="5">
        <f t="shared" ca="1" si="0"/>
        <v>33260</v>
      </c>
      <c r="I12" s="7">
        <f t="shared" ca="1" si="1"/>
        <v>38368</v>
      </c>
      <c r="J12" s="6">
        <f ca="1">RANDBETWEEN(10,50)/100</f>
        <v>0.41</v>
      </c>
      <c r="K12" s="4">
        <f t="shared" ca="1" si="2"/>
        <v>16</v>
      </c>
      <c r="L12" s="12">
        <f t="shared" ca="1" si="3"/>
        <v>54098.879999999997</v>
      </c>
      <c r="M12" s="11">
        <f ca="1">ROUND((TODAY()-H12)/365,0)</f>
        <v>35</v>
      </c>
      <c r="N12" s="11" t="str">
        <f t="shared" ca="1" si="4"/>
        <v>rapide</v>
      </c>
    </row>
    <row r="13" spans="5:14">
      <c r="I13" s="9"/>
    </row>
    <row r="15" spans="5:14">
      <c r="H15" s="10" t="s">
        <v>27</v>
      </c>
      <c r="I15" s="10">
        <f ca="1">SUMIF(G6:G12,"Informatique",I6:I12)</f>
        <v>49054</v>
      </c>
      <c r="J15" s="13" t="s">
        <v>28</v>
      </c>
      <c r="K15" s="14"/>
      <c r="L15" s="14"/>
    </row>
    <row r="16" spans="5:14">
      <c r="J16" s="14"/>
      <c r="K16" s="14"/>
      <c r="L16" s="14"/>
    </row>
    <row r="17" spans="7:12">
      <c r="J17" s="14"/>
      <c r="K17" s="14"/>
      <c r="L17" s="14"/>
    </row>
    <row r="19" spans="7:12">
      <c r="G19" s="8" t="s">
        <v>0</v>
      </c>
      <c r="H19" s="8" t="s">
        <v>10</v>
      </c>
    </row>
    <row r="20" spans="7:12">
      <c r="G20" s="8" t="s">
        <v>4</v>
      </c>
      <c r="H20" s="10">
        <f ca="1">IFERROR(VLOOKUP(H19,$E$6:$N$12,5,1),"not found!!!")</f>
        <v>28820</v>
      </c>
    </row>
  </sheetData>
  <mergeCells count="1">
    <mergeCell ref="J15:L17"/>
  </mergeCells>
  <pageMargins left="0.7" right="0.7" top="0.75" bottom="0.75" header="0.3" footer="0.3"/>
  <pageSetup orientation="portrait" r:id="rId1"/>
</worksheet>
</file>

<file path=xl/worksheets/sheet2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 xr:uid="{00000000-0001-0000-0300-000000000000}">
  <dimension ref="A1"/>
  <sheetViews>
    <sheetView workbookViewId="0">
      <selection activeCell="H15" sqref="H15:I16"/>
    </sheetView>
  </sheetViews>
  <sheetFormatPr defaultColWidth="11.42578125" defaultRowHeight="15"/>
  <sheetData/>
  <pageMargins left="0.7" right="0.7" top="0.75" bottom="0.75" header="0.3" footer="0.3"/>
</worksheet>
</file>

<file path=customXml/_rels/item1.xml.rels><?xml version="1.0" encoding="UTF-8" standalone="yes"?>
<Relationships xmlns="http://schemas.openxmlformats.org/package/2006/relationships"><Relationship Id="rId1" Type="http://schemas.openxmlformats.org/officeDocument/2006/relationships/customXmlProps" Target="itemProps1.xml"/></Relationships>
</file>

<file path=customXml/_rels/item2.xml.rels><?xml version="1.0" encoding="UTF-8" standalone="yes"?>
<Relationships xmlns="http://schemas.openxmlformats.org/package/2006/relationships"><Relationship Id="rId1" Type="http://schemas.openxmlformats.org/officeDocument/2006/relationships/customXmlProps" Target="itemProps2.xml"/></Relationships>
</file>

<file path=customXml/_rels/item3.xml.rels><?xml version="1.0" encoding="UTF-8" standalone="yes"?>
<Relationships xmlns="http://schemas.openxmlformats.org/package/2006/relationships"><Relationship Id="rId1" Type="http://schemas.openxmlformats.org/officeDocument/2006/relationships/customXmlProps" Target="itemProps3.xml"/></Relationships>
</file>

<file path=customXml/item1.xml><?xml version="1.0" encoding="utf-8"?>
<p:properties xmlns:p="http://schemas.microsoft.com/office/2006/metadata/properties" xmlns:xsi="http://www.w3.org/2001/XMLSchema-instance" xmlns:pc="http://schemas.microsoft.com/office/infopath/2007/PartnerControls">
  <documentManagement>
    <TaxCatchAll xmlns="dc005532-589a-43ee-8af3-d26a59dbc951" xsi:nil="true"/>
    <lcf76f155ced4ddcb4097134ff3c332f xmlns="cb8ef348-29c4-4ec9-871d-a6f68f752041">
      <Terms xmlns="http://schemas.microsoft.com/office/infopath/2007/PartnerControls"/>
    </lcf76f155ced4ddcb4097134ff3c332f>
  </documentManagement>
</p:properties>
</file>

<file path=customXml/item2.xml><?xml version="1.0" encoding="utf-8"?>
<?mso-contentType ?>
<FormTemplates xmlns="http://schemas.microsoft.com/sharepoint/v3/contenttype/forms">
  <Display>DocumentLibraryForm</Display>
  <Edit>DocumentLibraryForm</Edit>
  <New>DocumentLibraryForm</New>
</FormTemplates>
</file>

<file path=customXml/item3.xml><?xml version="1.0" encoding="utf-8"?>
<ct:contentTypeSchema xmlns:ct="http://schemas.microsoft.com/office/2006/metadata/contentType" xmlns:ma="http://schemas.microsoft.com/office/2006/metadata/properties/metaAttributes" ct:_="" ma:_="" ma:contentTypeName="Document" ma:contentTypeID="0x010100326C4F2C80C0BB46B5D6862B9836EFD7" ma:contentTypeVersion="11" ma:contentTypeDescription="Crée un document." ma:contentTypeScope="" ma:versionID="e78180587b561bf0703a2acc4d4eb2ea">
  <xsd:schema xmlns:xsd="http://www.w3.org/2001/XMLSchema" xmlns:xs="http://www.w3.org/2001/XMLSchema" xmlns:p="http://schemas.microsoft.com/office/2006/metadata/properties" xmlns:ns2="cb8ef348-29c4-4ec9-871d-a6f68f752041" xmlns:ns3="dc005532-589a-43ee-8af3-d26a59dbc951" targetNamespace="http://schemas.microsoft.com/office/2006/metadata/properties" ma:root="true" ma:fieldsID="d710d662eba06c054db6ce0ed689f62e" ns2:_="" ns3:_="">
    <xsd:import namespace="cb8ef348-29c4-4ec9-871d-a6f68f752041"/>
    <xsd:import namespace="dc005532-589a-43ee-8af3-d26a59dbc951"/>
    <xsd:element name="properties">
      <xsd:complexType>
        <xsd:sequence>
          <xsd:element name="documentManagement">
            <xsd:complexType>
              <xsd:all>
                <xsd:element ref="ns2:MediaServiceMetadata" minOccurs="0"/>
                <xsd:element ref="ns2:MediaServiceFastMetadata" minOccurs="0"/>
                <xsd:element ref="ns2:MediaServiceSearchProperties" minOccurs="0"/>
                <xsd:element ref="ns2:MediaServiceDateTaken" minOccurs="0"/>
                <xsd:element ref="ns2:MediaServiceGenerationTime" minOccurs="0"/>
                <xsd:element ref="ns2:MediaServiceEventHashCode" minOccurs="0"/>
                <xsd:element ref="ns2:MediaLengthInSeconds" minOccurs="0"/>
                <xsd:element ref="ns2:lcf76f155ced4ddcb4097134ff3c332f" minOccurs="0"/>
                <xsd:element ref="ns3:TaxCatchAll" minOccurs="0"/>
                <xsd:element ref="ns2:MediaServiceOCR" minOccurs="0"/>
              </xsd:all>
            </xsd:complexType>
          </xsd:element>
        </xsd:sequence>
      </xsd:complexType>
    </xsd:element>
  </xsd:schema>
  <xsd:schema xmlns:xsd="http://www.w3.org/2001/XMLSchema" xmlns:xs="http://www.w3.org/2001/XMLSchema" xmlns:dms="http://schemas.microsoft.com/office/2006/documentManagement/types" xmlns:pc="http://schemas.microsoft.com/office/infopath/2007/PartnerControls" targetNamespace="cb8ef348-29c4-4ec9-871d-a6f68f752041" elementFormDefault="qualified">
    <xsd:import namespace="http://schemas.microsoft.com/office/2006/documentManagement/types"/>
    <xsd:import namespace="http://schemas.microsoft.com/office/infopath/2007/PartnerControls"/>
    <xsd:element name="MediaServiceMetadata" ma:index="8" nillable="true" ma:displayName="MediaServiceMetadata" ma:hidden="true" ma:internalName="MediaServiceMetadata" ma:readOnly="true">
      <xsd:simpleType>
        <xsd:restriction base="dms:Note"/>
      </xsd:simpleType>
    </xsd:element>
    <xsd:element name="MediaServiceFastMetadata" ma:index="9" nillable="true" ma:displayName="MediaServiceFastMetadata" ma:hidden="true" ma:internalName="MediaServiceFastMetadata" ma:readOnly="true">
      <xsd:simpleType>
        <xsd:restriction base="dms:Note"/>
      </xsd:simpleType>
    </xsd:element>
    <xsd:element name="MediaServiceSearchProperties" ma:index="10" nillable="true" ma:displayName="MediaServiceSearchProperties" ma:hidden="true" ma:internalName="MediaServiceSearchProperties" ma:readOnly="true">
      <xsd:simpleType>
        <xsd:restriction base="dms:Note"/>
      </xsd:simpleType>
    </xsd:element>
    <xsd:element name="MediaServiceDateTaken" ma:index="11" nillable="true" ma:displayName="MediaServiceDateTaken" ma:hidden="true" ma:indexed="true" ma:internalName="MediaServiceDateTaken" ma:readOnly="true">
      <xsd:simpleType>
        <xsd:restriction base="dms:Text"/>
      </xsd:simpleType>
    </xsd:element>
    <xsd:element name="MediaServiceGenerationTime" ma:index="12" nillable="true" ma:displayName="MediaServiceGenerationTime" ma:hidden="true" ma:internalName="MediaServiceGenerationTime" ma:readOnly="true">
      <xsd:simpleType>
        <xsd:restriction base="dms:Text"/>
      </xsd:simpleType>
    </xsd:element>
    <xsd:element name="MediaServiceEventHashCode" ma:index="13" nillable="true" ma:displayName="MediaServiceEventHashCode" ma:hidden="true" ma:internalName="MediaServiceEventHashCode" ma:readOnly="true">
      <xsd:simpleType>
        <xsd:restriction base="dms:Text"/>
      </xsd:simpleType>
    </xsd:element>
    <xsd:element name="MediaLengthInSeconds" ma:index="14" nillable="true" ma:displayName="MediaLengthInSeconds" ma:hidden="true" ma:internalName="MediaLengthInSeconds" ma:readOnly="true">
      <xsd:simpleType>
        <xsd:restriction base="dms:Unknown"/>
      </xsd:simpleType>
    </xsd:element>
    <xsd:element name="lcf76f155ced4ddcb4097134ff3c332f" ma:index="16" nillable="true" ma:taxonomy="true" ma:internalName="lcf76f155ced4ddcb4097134ff3c332f" ma:taxonomyFieldName="MediaServiceImageTags" ma:displayName="Balises d’images" ma:readOnly="false" ma:fieldId="{5cf76f15-5ced-4ddc-b409-7134ff3c332f}" ma:taxonomyMulti="true" ma:sspId="429a0b44-e2b1-478b-a4cc-c7880c354d3c" ma:termSetId="09814cd3-568e-fe90-9814-8d621ff8fb84" ma:anchorId="fba54fb3-c3e1-fe81-a776-ca4b69148c4d" ma:open="true" ma:isKeyword="false">
      <xsd:complexType>
        <xsd:sequence>
          <xsd:element ref="pc:Terms" minOccurs="0" maxOccurs="1"/>
        </xsd:sequence>
      </xsd:complexType>
    </xsd:element>
    <xsd:element name="MediaServiceOCR" ma:index="18" nillable="true" ma:displayName="Extracted Text" ma:internalName="MediaServiceOCR" ma:readOnly="true">
      <xsd:simpleType>
        <xsd:restriction base="dms:Note">
          <xsd:maxLength value="255"/>
        </xsd:restriction>
      </xsd:simpleType>
    </xsd:element>
  </xsd:schema>
  <xsd:schema xmlns:xsd="http://www.w3.org/2001/XMLSchema" xmlns:xs="http://www.w3.org/2001/XMLSchema" xmlns:dms="http://schemas.microsoft.com/office/2006/documentManagement/types" xmlns:pc="http://schemas.microsoft.com/office/infopath/2007/PartnerControls" targetNamespace="dc005532-589a-43ee-8af3-d26a59dbc951" elementFormDefault="qualified">
    <xsd:import namespace="http://schemas.microsoft.com/office/2006/documentManagement/types"/>
    <xsd:import namespace="http://schemas.microsoft.com/office/infopath/2007/PartnerControls"/>
    <xsd:element name="TaxCatchAll" ma:index="17" nillable="true" ma:displayName="Taxonomy Catch All Column" ma:hidden="true" ma:list="{54329b50-534c-48c9-a0c7-875e56921e90}" ma:internalName="TaxCatchAll" ma:showField="CatchAllData" ma:web="dc005532-589a-43ee-8af3-d26a59dbc951">
      <xsd:complexType>
        <xsd:complexContent>
          <xsd:extension base="dms:MultiChoiceLookup">
            <xsd:sequence>
              <xsd:element name="Value" type="dms:Lookup" maxOccurs="unbounded" minOccurs="0" nillable="true"/>
            </xsd:sequence>
          </xsd:extension>
        </xsd:complexContent>
      </xsd:complexType>
    </xsd:element>
  </xsd:schema>
  <xsd:schema xmlns="http://schemas.openxmlformats.org/package/2006/metadata/core-properties" xmlns:xsd="http://www.w3.org/2001/XMLSchema" xmlns:xsi="http://www.w3.org/2001/XMLSchema-instance" xmlns:dc="http://purl.org/dc/elements/1.1/" xmlns:dcterms="http://purl.org/dc/terms/" xmlns:odoc="http://schemas.microsoft.com/internal/obd" targetNamespace="http://schemas.openxmlformats.org/package/2006/metadata/core-properties" elementFormDefault="qualified" attributeFormDefault="unqualified" blockDefault="#all">
    <xsd:import namespace="http://purl.org/dc/elements/1.1/" schemaLocation="http://dublincore.org/schemas/xmls/qdc/2003/04/02/dc.xsd"/>
    <xsd:import namespace="http://purl.org/dc/terms/" schemaLocation="http://dublincore.org/schemas/xmls/qdc/2003/04/02/dcterms.xsd"/>
    <xsd:element name="coreProperties" type="CT_coreProperties"/>
    <xsd:complexType name="CT_coreProperties">
      <xsd:all>
        <xsd:element ref="dc:creator" minOccurs="0" maxOccurs="1"/>
        <xsd:element ref="dcterms:created" minOccurs="0" maxOccurs="1"/>
        <xsd:element ref="dc:identifier" minOccurs="0" maxOccurs="1"/>
        <xsd:element name="contentType" minOccurs="0" maxOccurs="1" type="xsd:string" ma:index="0" ma:displayName="Type de contenu"/>
        <xsd:element ref="dc:title" minOccurs="0" maxOccurs="1" ma:index="4" ma:displayName="Titre"/>
        <xsd:element ref="dc:subject" minOccurs="0" maxOccurs="1"/>
        <xsd:element ref="dc:description" minOccurs="0" maxOccurs="1"/>
        <xsd:element name="keywords" minOccurs="0" maxOccurs="1" type="xsd:string"/>
        <xsd:element ref="dc:language" minOccurs="0" maxOccurs="1"/>
        <xsd:element name="category" minOccurs="0" maxOccurs="1" type="xsd:string"/>
        <xsd:element name="version" minOccurs="0" maxOccurs="1" type="xsd:string"/>
        <xsd:element name="revision" minOccurs="0" maxOccurs="1" type="xsd:string">
          <xsd:annotation>
            <xsd:documentation>
                        This value indicates the number of saves or revisions. The application is responsible for updating this value after each revision.
                    </xsd:documentation>
          </xsd:annotation>
        </xsd:element>
        <xsd:element name="lastModifiedBy" minOccurs="0" maxOccurs="1" type="xsd:string"/>
        <xsd:element ref="dcterms:modified" minOccurs="0" maxOccurs="1"/>
        <xsd:element name="contentStatus" minOccurs="0" maxOccurs="1" type="xsd:string"/>
      </xsd:all>
    </xsd:complexType>
  </xsd:schema>
  <xs:schema xmlns:pc="http://schemas.microsoft.com/office/infopath/2007/PartnerControls" xmlns:xs="http://www.w3.org/2001/XMLSchema" targetNamespace="http://schemas.microsoft.com/office/infopath/2007/PartnerControls" elementFormDefault="qualified" attributeFormDefault="unqualified">
    <xs:element name="Person">
      <xs:complexType>
        <xs:sequence>
          <xs:element ref="pc:DisplayName" minOccurs="0"/>
          <xs:element ref="pc:AccountId" minOccurs="0"/>
          <xs:element ref="pc:AccountType" minOccurs="0"/>
        </xs:sequence>
      </xs:complexType>
    </xs:element>
    <xs:element name="DisplayName" type="xs:string"/>
    <xs:element name="AccountId" type="xs:string"/>
    <xs:element name="AccountType" type="xs:string"/>
    <xs:element name="BDCAssociatedEntity">
      <xs:complexType>
        <xs:sequence>
          <xs:element ref="pc:BDCEntity" minOccurs="0" maxOccurs="unbounded"/>
        </xs:sequence>
        <xs:attribute ref="pc:EntityNamespace"/>
        <xs:attribute ref="pc:EntityName"/>
        <xs:attribute ref="pc:SystemInstanceName"/>
        <xs:attribute ref="pc:AssociationName"/>
      </xs:complexType>
    </xs:element>
    <xs:attribute name="EntityNamespace" type="xs:string"/>
    <xs:attribute name="EntityName" type="xs:string"/>
    <xs:attribute name="SystemInstanceName" type="xs:string"/>
    <xs:attribute name="AssociationName" type="xs:string"/>
    <xs:element name="BDCEntity">
      <xs:complexType>
        <xs:sequence>
          <xs:element ref="pc:EntityDisplayName" minOccurs="0"/>
          <xs:element ref="pc:EntityInstanceReference" minOccurs="0"/>
          <xs:element ref="pc:EntityId1" minOccurs="0"/>
          <xs:element ref="pc:EntityId2" minOccurs="0"/>
          <xs:element ref="pc:EntityId3" minOccurs="0"/>
          <xs:element ref="pc:EntityId4" minOccurs="0"/>
          <xs:element ref="pc:EntityId5" minOccurs="0"/>
        </xs:sequence>
      </xs:complexType>
    </xs:element>
    <xs:element name="EntityDisplayName" type="xs:string"/>
    <xs:element name="EntityInstanceReference" type="xs:string"/>
    <xs:element name="EntityId1" type="xs:string"/>
    <xs:element name="EntityId2" type="xs:string"/>
    <xs:element name="EntityId3" type="xs:string"/>
    <xs:element name="EntityId4" type="xs:string"/>
    <xs:element name="EntityId5" type="xs:string"/>
    <xs:element name="Terms">
      <xs:complexType>
        <xs:sequence>
          <xs:element ref="pc:TermInfo" minOccurs="0" maxOccurs="unbounded"/>
        </xs:sequence>
      </xs:complexType>
    </xs:element>
    <xs:element name="TermInfo">
      <xs:complexType>
        <xs:sequence>
          <xs:element ref="pc:TermName" minOccurs="0"/>
          <xs:element ref="pc:TermId" minOccurs="0"/>
        </xs:sequence>
      </xs:complexType>
    </xs:element>
    <xs:element name="TermName" type="xs:string"/>
    <xs:element name="TermId" type="xs:string"/>
  </xs:schema>
</ct:contentTypeSchema>
</file>

<file path=customXml/itemProps1.xml><?xml version="1.0" encoding="utf-8"?>
<ds:datastoreItem xmlns:ds="http://schemas.openxmlformats.org/officeDocument/2006/customXml" ds:itemID="{D6CA1E55-F627-4825-AC12-5504FDBD0A1C}"/>
</file>

<file path=customXml/itemProps2.xml><?xml version="1.0" encoding="utf-8"?>
<ds:datastoreItem xmlns:ds="http://schemas.openxmlformats.org/officeDocument/2006/customXml" ds:itemID="{102C3B43-8AFA-4A45-9CCE-FC2848AEF0A1}"/>
</file>

<file path=customXml/itemProps3.xml><?xml version="1.0" encoding="utf-8"?>
<ds:datastoreItem xmlns:ds="http://schemas.openxmlformats.org/officeDocument/2006/customXml" ds:itemID="{A9EDC0EF-FEE2-4285-907A-CF58CAFA4E91}"/>
</file>

<file path=docProps/app.xml><?xml version="1.0" encoding="utf-8"?>
<Properties xmlns="http://schemas.openxmlformats.org/officeDocument/2006/extended-properties" xmlns:vt="http://schemas.openxmlformats.org/officeDocument/2006/docPropsVTypes">
  <Application>Microsoft Excel Online</Application>
  <Manager/>
  <Company/>
  <HyperlinkBase/>
  <AppVersion>16.0300</AppVersion>
</Properties>
</file>

<file path=docProps/core.xml><?xml version="1.0" encoding="utf-8"?>
<cp:coreProperties xmlns:cp="http://schemas.openxmlformats.org/package/2006/metadata/core-properties" xmlns:dc="http://purl.org/dc/elements/1.1/" xmlns:dcterms="http://purl.org/dc/terms/" xmlns:dcmitype="http://purl.org/dc/dcmitype/" xmlns:xsi="http://www.w3.org/2001/XMLSchema-instance">
  <dc:title/>
  <dc:subject/>
  <dc:creator>MARIAME BOUKRIM</dc:creator>
  <cp:keywords/>
  <dc:description/>
  <cp:lastModifiedBy>MOUKEDDAR MOHAMED</cp:lastModifiedBy>
  <cp:revision/>
  <dcterms:created xsi:type="dcterms:W3CDTF">2025-11-25T08:17:23Z</dcterms:created>
  <dcterms:modified xsi:type="dcterms:W3CDTF">2025-11-25T09:23:48Z</dcterms:modified>
  <cp:category/>
  <cp:contentStatus/>
</cp:coreProperties>
</file>

<file path=docProps/custom.xml><?xml version="1.0" encoding="utf-8"?>
<Properties xmlns="http://schemas.openxmlformats.org/officeDocument/2006/custom-properties" xmlns:vt="http://schemas.openxmlformats.org/officeDocument/2006/docPropsVTypes">
  <property fmtid="{D5CDD505-2E9C-101B-9397-08002B2CF9AE}" pid="2" name="ContentTypeId">
    <vt:lpwstr>0x010100326C4F2C80C0BB46B5D6862B9836EFD7</vt:lpwstr>
  </property>
  <property fmtid="{D5CDD505-2E9C-101B-9397-08002B2CF9AE}" pid="3" name="MediaServiceImageTags">
    <vt:lpwstr/>
  </property>
</Properties>
</file>