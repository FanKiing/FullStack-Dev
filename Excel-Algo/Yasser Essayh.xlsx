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ser\OneDrive\Documents\FullStack-Dev\Excel-Algo\"/>
    </mc:Choice>
  </mc:AlternateContent>
  <xr:revisionPtr revIDLastSave="0" documentId="8_{6D996DEB-7B46-4649-8F42-B79CBD3BB970}" xr6:coauthVersionLast="47" xr6:coauthVersionMax="47" xr10:uidLastSave="{00000000-0000-0000-0000-000000000000}"/>
  <bookViews>
    <workbookView xWindow="-120" yWindow="-120" windowWidth="29040" windowHeight="15720" xr2:uid="{4FE2380E-1AB0-4F3C-B575-F80CD91E3A99}"/>
  </bookViews>
  <sheets>
    <sheet name="Sheet1" sheetId="1" r:id="rId1"/>
  </sheets>
  <definedNames>
    <definedName name="_xlchart.v1.0" hidden="1">Sheet1!$D$2:$D$7</definedName>
    <definedName name="_xlchart.v1.1" hidden="1">Sheet1!$E$1</definedName>
    <definedName name="_xlchart.v1.2" hidden="1">Sheet1!$E$2:$E$7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N2" i="1"/>
  <c r="K3" i="1"/>
  <c r="K4" i="1"/>
  <c r="K5" i="1"/>
  <c r="K6" i="1"/>
  <c r="K7" i="1"/>
  <c r="K2" i="1"/>
  <c r="I2" i="1"/>
  <c r="I3" i="1"/>
  <c r="I4" i="1"/>
  <c r="I5" i="1"/>
  <c r="I6" i="1"/>
  <c r="I7" i="1"/>
  <c r="J3" i="1"/>
  <c r="J4" i="1"/>
  <c r="J5" i="1"/>
  <c r="J6" i="1"/>
  <c r="J7" i="1"/>
  <c r="J2" i="1"/>
</calcChain>
</file>

<file path=xl/sharedStrings.xml><?xml version="1.0" encoding="utf-8"?>
<sst xmlns="http://schemas.openxmlformats.org/spreadsheetml/2006/main" count="35" uniqueCount="32">
  <si>
    <t>Type matériel</t>
  </si>
  <si>
    <t>Marque</t>
  </si>
  <si>
    <t>Date de mise en service</t>
  </si>
  <si>
    <t>Prix HT (DH)</t>
  </si>
  <si>
    <t>TVA (%)</t>
  </si>
  <si>
    <t>Indice d’état</t>
  </si>
  <si>
    <t>Prix TTC</t>
  </si>
  <si>
    <t>Anciennet é (ans)</t>
  </si>
  <si>
    <t>État global</t>
  </si>
  <si>
    <t xml:space="preserve">IM-101 </t>
  </si>
  <si>
    <t xml:space="preserve">Imprimante </t>
  </si>
  <si>
    <t xml:space="preserve">HP </t>
  </si>
  <si>
    <t xml:space="preserve">Administration </t>
  </si>
  <si>
    <t xml:space="preserve">PC-205 </t>
  </si>
  <si>
    <t xml:space="preserve">Ordinateur </t>
  </si>
  <si>
    <t xml:space="preserve">Dell </t>
  </si>
  <si>
    <t xml:space="preserve">Informatique </t>
  </si>
  <si>
    <t xml:space="preserve">SC-330 </t>
  </si>
  <si>
    <t xml:space="preserve">Scanner </t>
  </si>
  <si>
    <t xml:space="preserve">Canon </t>
  </si>
  <si>
    <t xml:space="preserve">RH </t>
  </si>
  <si>
    <t xml:space="preserve">PR-412 </t>
  </si>
  <si>
    <t xml:space="preserve">Projecteur </t>
  </si>
  <si>
    <t xml:space="preserve">Epson </t>
  </si>
  <si>
    <t xml:space="preserve">Formation </t>
  </si>
  <si>
    <t xml:space="preserve">PC-518 </t>
  </si>
  <si>
    <t xml:space="preserve">Lenovo </t>
  </si>
  <si>
    <t xml:space="preserve">IM-624 </t>
  </si>
  <si>
    <t xml:space="preserve">Brother </t>
  </si>
  <si>
    <t xml:space="preserve">Comptabilité </t>
  </si>
  <si>
    <t>Département</t>
  </si>
  <si>
    <t>Matériel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</si>
</sst>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Prix TTC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Sheet1!$B$2:$B$7</c:f>
              <c:strCache>
                <c:ptCount val="6"/>
                <c:pt idx="0">
                  <c:v>Imprimante </c:v>
                </c:pt>
                <c:pt idx="1">
                  <c:v>Ordinateur </c:v>
                </c:pt>
                <c:pt idx="2">
                  <c:v>Scanner </c:v>
                </c:pt>
                <c:pt idx="3">
                  <c:v>Projecteur </c:v>
                </c:pt>
                <c:pt idx="4">
                  <c:v>Ordinateur </c:v>
                </c:pt>
                <c:pt idx="5">
                  <c:v>Imprimante </c:v>
                </c:pt>
              </c:strCache>
            </c:strRef>
          </c:cat>
          <c:val>
            <c:numRef>
              <c:f>Sheet1!$I$2:$I$7</c:f>
              <c:numCache>
                <c:formatCode>General</c:formatCode>
                <c:ptCount val="6"/>
                <c:pt idx="0">
                  <c:v>720</c:v>
                </c:pt>
                <c:pt idx="1">
                  <c:v>1780</c:v>
                </c:pt>
                <c:pt idx="2">
                  <c:v>960</c:v>
                </c:pt>
                <c:pt idx="3">
                  <c:v>1520</c:v>
                </c:pt>
                <c:pt idx="4">
                  <c:v>2040</c:v>
                </c:pt>
                <c:pt idx="5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C-4664-AAC6-9E9583D27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492079"/>
        <c:axId val="425502159"/>
      </c:barChart>
      <c:catAx>
        <c:axId val="42549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02159"/>
        <c:crosses val="autoZero"/>
        <c:auto val="1"/>
        <c:lblAlgn val="ctr"/>
        <c:lblOffset val="100"/>
        <c:noMultiLvlLbl val="0"/>
      </c:catAx>
      <c:valAx>
        <c:axId val="42550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9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Date de mise en service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Sheet1!$D$2:$D$7</c:f>
              <c:strCache>
                <c:ptCount val="6"/>
                <c:pt idx="0">
                  <c:v>Administration </c:v>
                </c:pt>
                <c:pt idx="1">
                  <c:v>Informatique </c:v>
                </c:pt>
                <c:pt idx="2">
                  <c:v>RH </c:v>
                </c:pt>
                <c:pt idx="3">
                  <c:v>Formation </c:v>
                </c:pt>
                <c:pt idx="4">
                  <c:v>Informatique </c:v>
                </c:pt>
                <c:pt idx="5">
                  <c:v>Comptabilité </c:v>
                </c:pt>
              </c:strCache>
            </c:strRef>
          </c:cat>
          <c:val>
            <c:numRef>
              <c:f>Sheet1!$E$2:$E$7</c:f>
              <c:numCache>
                <c:formatCode>m/d/yyyy</c:formatCode>
                <c:ptCount val="6"/>
                <c:pt idx="0">
                  <c:v>43149</c:v>
                </c:pt>
                <c:pt idx="1">
                  <c:v>44084</c:v>
                </c:pt>
                <c:pt idx="2">
                  <c:v>42526</c:v>
                </c:pt>
                <c:pt idx="3">
                  <c:v>43487</c:v>
                </c:pt>
                <c:pt idx="4">
                  <c:v>44514</c:v>
                </c:pt>
                <c:pt idx="5">
                  <c:v>42824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4-47D9-9A2C-260AF3D63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Sheet1!$J$2:$J$7</c:f>
              <c:numCache>
                <c:formatCode>General</c:formatCode>
                <c:ptCount val="6"/>
                <c:pt idx="0">
                  <c:v>7</c:v>
                </c:pt>
                <c:pt idx="1">
                  <c:v>5</c:v>
                </c:pt>
                <c:pt idx="2">
                  <c:v>9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F-4766-A1D6-25CE55851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498799"/>
        <c:axId val="425495439"/>
      </c:lineChart>
      <c:catAx>
        <c:axId val="425498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95439"/>
        <c:crosses val="autoZero"/>
        <c:auto val="1"/>
        <c:lblAlgn val="ctr"/>
        <c:lblOffset val="100"/>
        <c:noMultiLvlLbl val="0"/>
      </c:catAx>
      <c:valAx>
        <c:axId val="42549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9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Indice d’état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Sheet1!$F$2:$F$7</c:f>
              <c:numCache>
                <c:formatCode>General</c:formatCode>
                <c:ptCount val="6"/>
                <c:pt idx="0">
                  <c:v>3600</c:v>
                </c:pt>
                <c:pt idx="1">
                  <c:v>8900</c:v>
                </c:pt>
                <c:pt idx="2">
                  <c:v>4800</c:v>
                </c:pt>
                <c:pt idx="3">
                  <c:v>7600</c:v>
                </c:pt>
                <c:pt idx="4">
                  <c:v>10200</c:v>
                </c:pt>
                <c:pt idx="5">
                  <c:v>4100</c:v>
                </c:pt>
              </c:numCache>
            </c:numRef>
          </c:xVal>
          <c:yVal>
            <c:numRef>
              <c:f>Sheet1!$H$2:$H$7</c:f>
              <c:numCache>
                <c:formatCode>General</c:formatCode>
                <c:ptCount val="6"/>
                <c:pt idx="0">
                  <c:v>14</c:v>
                </c:pt>
                <c:pt idx="1">
                  <c:v>17</c:v>
                </c:pt>
                <c:pt idx="2">
                  <c:v>10</c:v>
                </c:pt>
                <c:pt idx="3">
                  <c:v>13</c:v>
                </c:pt>
                <c:pt idx="4">
                  <c:v>18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9-451A-B3AF-B6DAD2D3E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16559"/>
        <c:axId val="425517039"/>
      </c:scatterChart>
      <c:valAx>
        <c:axId val="42551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17039"/>
        <c:crosses val="autoZero"/>
        <c:crossBetween val="midCat"/>
      </c:valAx>
      <c:valAx>
        <c:axId val="42551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1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Prix HT (DH)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Sheet1!$F$2:$F$7</c:f>
              <c:numCache>
                <c:formatCode>General</c:formatCode>
                <c:ptCount val="6"/>
                <c:pt idx="0">
                  <c:v>3600</c:v>
                </c:pt>
                <c:pt idx="1">
                  <c:v>8900</c:v>
                </c:pt>
                <c:pt idx="2">
                  <c:v>4800</c:v>
                </c:pt>
                <c:pt idx="3">
                  <c:v>7600</c:v>
                </c:pt>
                <c:pt idx="4">
                  <c:v>10200</c:v>
                </c:pt>
                <c:pt idx="5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B-4EFB-A6BD-934262DBE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434959"/>
        <c:axId val="425442159"/>
      </c:barChart>
      <c:lineChart>
        <c:grouping val="standard"/>
        <c:varyColors val="0"/>
        <c:ser>
          <c:idx val="1"/>
          <c:order val="1"/>
          <c:tx>
            <c:strRef>
              <c:f>Sheet1!$I$1</c:f>
              <c:strCache>
                <c:ptCount val="1"/>
                <c:pt idx="0">
                  <c:v>Prix TTC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Sheet1!$I$2:$I$7</c:f>
              <c:numCache>
                <c:formatCode>General</c:formatCode>
                <c:ptCount val="6"/>
                <c:pt idx="0">
                  <c:v>720</c:v>
                </c:pt>
                <c:pt idx="1">
                  <c:v>1780</c:v>
                </c:pt>
                <c:pt idx="2">
                  <c:v>960</c:v>
                </c:pt>
                <c:pt idx="3">
                  <c:v>1520</c:v>
                </c:pt>
                <c:pt idx="4">
                  <c:v>2040</c:v>
                </c:pt>
                <c:pt idx="5">
                  <c:v>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9B-4EFB-A6BD-934262DBE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433039"/>
        <c:axId val="425432559"/>
      </c:lineChart>
      <c:catAx>
        <c:axId val="425434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42159"/>
        <c:auto val="1"/>
        <c:lblAlgn val="ctr"/>
        <c:lblOffset val="100"/>
        <c:noMultiLvlLbl val="0"/>
      </c:catAx>
      <c:valAx>
        <c:axId val="42544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34959"/>
        <c:crossBetween val="between"/>
      </c:valAx>
      <c:valAx>
        <c:axId val="42543255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33039"/>
        <c:crosses val="max"/>
        <c:crossBetween val="between"/>
      </c:valAx>
      <c:catAx>
        <c:axId val="425433039"/>
        <c:scaling>
          <c:orientation val="minMax"/>
        </c:scaling>
        <c:delete val="1"/>
        <c:axPos val="b"/>
        <c:majorTickMark val="none"/>
        <c:minorTickMark val="none"/>
        <c:tickLblPos val="nextTo"/>
        <c:crossAx val="4254325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Indice d’état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Sheet1!$D$2:$D$7</c:f>
              <c:strCache>
                <c:ptCount val="6"/>
                <c:pt idx="0">
                  <c:v>Administration </c:v>
                </c:pt>
                <c:pt idx="1">
                  <c:v>Informatique </c:v>
                </c:pt>
                <c:pt idx="2">
                  <c:v>RH </c:v>
                </c:pt>
                <c:pt idx="3">
                  <c:v>Formation </c:v>
                </c:pt>
                <c:pt idx="4">
                  <c:v>Informatique </c:v>
                </c:pt>
                <c:pt idx="5">
                  <c:v>Comptabilité </c:v>
                </c:pt>
              </c:strCache>
            </c:strRef>
          </c:cat>
          <c:val>
            <c:numRef>
              <c:f>Sheet1!$H$2:$H$7</c:f>
              <c:numCache>
                <c:formatCode>General</c:formatCode>
                <c:ptCount val="6"/>
                <c:pt idx="0">
                  <c:v>14</c:v>
                </c:pt>
                <c:pt idx="1">
                  <c:v>17</c:v>
                </c:pt>
                <c:pt idx="2">
                  <c:v>10</c:v>
                </c:pt>
                <c:pt idx="3">
                  <c:v>13</c:v>
                </c:pt>
                <c:pt idx="4">
                  <c:v>18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F-42BA-911A-0A6D11529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5421039"/>
        <c:axId val="425414799"/>
      </c:barChart>
      <c:catAx>
        <c:axId val="425421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14799"/>
        <c:crosses val="autoZero"/>
        <c:auto val="1"/>
        <c:lblAlgn val="ctr"/>
        <c:lblOffset val="100"/>
        <c:noMultiLvlLbl val="0"/>
      </c:catAx>
      <c:valAx>
        <c:axId val="42541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2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14</xdr:row>
      <xdr:rowOff>33337</xdr:rowOff>
    </xdr:from>
    <xdr:to>
      <xdr:col>4</xdr:col>
      <xdr:colOff>381000</xdr:colOff>
      <xdr:row>28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134C3B-7E86-BFBA-4F97-5B12C8164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1200150</xdr:colOff>
      <xdr:row>14</xdr:row>
      <xdr:rowOff>33337</xdr:rowOff>
    </xdr:from>
    <xdr:to>
      <xdr:col>8</xdr:col>
      <xdr:colOff>628650</xdr:colOff>
      <xdr:row>28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8585CC-7581-CC15-2DED-72B7AA243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</xdr:colOff>
      <xdr:row>14</xdr:row>
      <xdr:rowOff>52387</xdr:rowOff>
    </xdr:from>
    <xdr:to>
      <xdr:col>13</xdr:col>
      <xdr:colOff>0</xdr:colOff>
      <xdr:row>28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09770F-1BA3-CC63-383D-723A4990A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571500</xdr:colOff>
      <xdr:row>30</xdr:row>
      <xdr:rowOff>176212</xdr:rowOff>
    </xdr:from>
    <xdr:to>
      <xdr:col>4</xdr:col>
      <xdr:colOff>381000</xdr:colOff>
      <xdr:row>45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EB6FA5-9FE9-B7E8-90FF-5E325DAF4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1190625</xdr:colOff>
      <xdr:row>31</xdr:row>
      <xdr:rowOff>71437</xdr:rowOff>
    </xdr:from>
    <xdr:to>
      <xdr:col>8</xdr:col>
      <xdr:colOff>619125</xdr:colOff>
      <xdr:row>45</xdr:row>
      <xdr:rowOff>147637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30B610E-4784-C717-CEE2-19F7FC8BE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590550</xdr:colOff>
      <xdr:row>31</xdr:row>
      <xdr:rowOff>42862</xdr:rowOff>
    </xdr:from>
    <xdr:to>
      <xdr:col>13</xdr:col>
      <xdr:colOff>514350</xdr:colOff>
      <xdr:row>45</xdr:row>
      <xdr:rowOff>119062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5565E7-EF47-9273-AB49-67631554D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931E-DAB7-402B-9A18-296D56B9D7F0}">
  <dimension ref="A1:O12"/>
  <sheetViews>
    <sheetView tabSelected="1" workbookViewId="0">
      <selection activeCell="H1" activeCellId="1" sqref="D1:D7 H1:H7"/>
    </sheetView>
  </sheetViews>
  <sheetFormatPr defaultRowHeight="15" x14ac:dyDescent="0.25"/>
  <cols>
    <col min="1" max="1" width="15.7109375" customWidth="1"/>
    <col min="2" max="2" width="18.5703125" customWidth="1"/>
    <col min="3" max="3" width="15.7109375" customWidth="1"/>
    <col min="4" max="4" width="21.42578125" customWidth="1"/>
    <col min="5" max="5" width="30" customWidth="1"/>
    <col min="6" max="9" width="15.7109375" customWidth="1"/>
    <col min="10" max="10" width="22.85546875" customWidth="1"/>
    <col min="11" max="11" width="15.7109375" customWidth="1"/>
    <col min="13" max="13" width="22" customWidth="1"/>
    <col min="14" max="14" width="12.28515625" customWidth="1"/>
    <col min="15" max="15" width="15.140625" customWidth="1"/>
  </cols>
  <sheetData>
    <row r="1" spans="1:15" ht="33.75" customHeight="1" x14ac:dyDescent="0.25">
      <c r="A1" s="1" t="s">
        <v>31</v>
      </c>
      <c r="B1" s="1" t="s">
        <v>0</v>
      </c>
      <c r="C1" s="1" t="s">
        <v>1</v>
      </c>
      <c r="D1" s="1" t="s">
        <v>30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5" ht="21" x14ac:dyDescent="0.25">
      <c r="A2" s="1" t="s">
        <v>9</v>
      </c>
      <c r="B2" s="1" t="s">
        <v>10</v>
      </c>
      <c r="C2" s="1" t="s">
        <v>11</v>
      </c>
      <c r="D2" s="1" t="s">
        <v>12</v>
      </c>
      <c r="E2" s="3">
        <v>43149</v>
      </c>
      <c r="F2" s="1">
        <v>3600</v>
      </c>
      <c r="G2" s="2">
        <v>0.2</v>
      </c>
      <c r="H2" s="1">
        <v>14</v>
      </c>
      <c r="I2" s="1">
        <f>F2*G2</f>
        <v>720</v>
      </c>
      <c r="J2" s="1">
        <f ca="1">DATEDIF(E2, TODAY(), "Y")</f>
        <v>7</v>
      </c>
      <c r="K2" s="1" t="str">
        <f>IF(I2&gt;=16,"Très bon",
   IF(I2&gt;=12,"Bon",
      IF(I2&gt;=8,"Acceptable","À remplacer")))</f>
        <v>Très bon</v>
      </c>
      <c r="N2" s="7" t="e">
        <f>VLOOKUP(M2, A2:I7, 9, FALSE)</f>
        <v>#N/A</v>
      </c>
      <c r="O2" s="7"/>
    </row>
    <row r="3" spans="1:15" ht="21" x14ac:dyDescent="0.25">
      <c r="A3" s="1" t="s">
        <v>13</v>
      </c>
      <c r="B3" s="1" t="s">
        <v>14</v>
      </c>
      <c r="C3" s="1" t="s">
        <v>15</v>
      </c>
      <c r="D3" s="1" t="s">
        <v>16</v>
      </c>
      <c r="E3" s="3">
        <v>44084</v>
      </c>
      <c r="F3" s="1">
        <v>8900</v>
      </c>
      <c r="G3" s="2">
        <v>0.2</v>
      </c>
      <c r="H3" s="1">
        <v>17</v>
      </c>
      <c r="I3" s="1">
        <f t="shared" ref="I3:I7" si="0">F3*G3</f>
        <v>1780</v>
      </c>
      <c r="J3" s="1">
        <f t="shared" ref="J3:J7" ca="1" si="1">DATEDIF(E3, TODAY(), "Y")</f>
        <v>5</v>
      </c>
      <c r="K3" s="1" t="str">
        <f t="shared" ref="K3:K7" si="2">IF(I3&gt;=16,"Très bon",
   IF(I3&gt;=12,"Bon",
      IF(I3&gt;=8,"Acceptable","À remplacer")))</f>
        <v>Très bon</v>
      </c>
    </row>
    <row r="4" spans="1:15" ht="21" x14ac:dyDescent="0.25">
      <c r="A4" s="1" t="s">
        <v>17</v>
      </c>
      <c r="B4" s="1" t="s">
        <v>18</v>
      </c>
      <c r="C4" s="1" t="s">
        <v>19</v>
      </c>
      <c r="D4" s="1" t="s">
        <v>20</v>
      </c>
      <c r="E4" s="3">
        <v>42526</v>
      </c>
      <c r="F4" s="1">
        <v>4800</v>
      </c>
      <c r="G4" s="2">
        <v>0.2</v>
      </c>
      <c r="H4" s="1">
        <v>10</v>
      </c>
      <c r="I4" s="1">
        <f t="shared" si="0"/>
        <v>960</v>
      </c>
      <c r="J4" s="1">
        <f t="shared" ca="1" si="1"/>
        <v>9</v>
      </c>
      <c r="K4" s="1" t="str">
        <f t="shared" si="2"/>
        <v>Très bon</v>
      </c>
    </row>
    <row r="5" spans="1:15" ht="21" x14ac:dyDescent="0.25">
      <c r="A5" s="1" t="s">
        <v>21</v>
      </c>
      <c r="B5" s="1" t="s">
        <v>22</v>
      </c>
      <c r="C5" s="1" t="s">
        <v>23</v>
      </c>
      <c r="D5" s="1" t="s">
        <v>24</v>
      </c>
      <c r="E5" s="3">
        <v>43487</v>
      </c>
      <c r="F5" s="1">
        <v>7600</v>
      </c>
      <c r="G5" s="2">
        <v>0.2</v>
      </c>
      <c r="H5" s="1">
        <v>13</v>
      </c>
      <c r="I5" s="1">
        <f t="shared" si="0"/>
        <v>1520</v>
      </c>
      <c r="J5" s="1">
        <f t="shared" ca="1" si="1"/>
        <v>6</v>
      </c>
      <c r="K5" s="1" t="str">
        <f t="shared" si="2"/>
        <v>Très bon</v>
      </c>
    </row>
    <row r="6" spans="1:15" ht="21" x14ac:dyDescent="0.25">
      <c r="A6" s="1" t="s">
        <v>25</v>
      </c>
      <c r="B6" s="1" t="s">
        <v>14</v>
      </c>
      <c r="C6" s="1" t="s">
        <v>26</v>
      </c>
      <c r="D6" s="1" t="s">
        <v>16</v>
      </c>
      <c r="E6" s="3">
        <v>44514</v>
      </c>
      <c r="F6" s="1">
        <v>10200</v>
      </c>
      <c r="G6" s="2">
        <v>0.2</v>
      </c>
      <c r="H6" s="1">
        <v>18</v>
      </c>
      <c r="I6" s="1">
        <f t="shared" si="0"/>
        <v>2040</v>
      </c>
      <c r="J6" s="1">
        <f t="shared" ca="1" si="1"/>
        <v>4</v>
      </c>
      <c r="K6" s="1" t="str">
        <f t="shared" si="2"/>
        <v>Très bon</v>
      </c>
      <c r="O6" s="5"/>
    </row>
    <row r="7" spans="1:15" ht="21" x14ac:dyDescent="0.25">
      <c r="A7" s="1" t="s">
        <v>27</v>
      </c>
      <c r="B7" s="1" t="s">
        <v>10</v>
      </c>
      <c r="C7" s="1" t="s">
        <v>28</v>
      </c>
      <c r="D7" s="1" t="s">
        <v>29</v>
      </c>
      <c r="E7" s="3">
        <v>42824</v>
      </c>
      <c r="F7" s="1">
        <v>4100</v>
      </c>
      <c r="G7" s="2">
        <v>0.2</v>
      </c>
      <c r="H7" s="1">
        <v>6</v>
      </c>
      <c r="I7" s="1">
        <f t="shared" si="0"/>
        <v>820</v>
      </c>
      <c r="J7" s="1">
        <f t="shared" ca="1" si="1"/>
        <v>8</v>
      </c>
      <c r="K7" s="1" t="str">
        <f t="shared" si="2"/>
        <v>Très bon</v>
      </c>
    </row>
    <row r="11" spans="1:15" ht="18.75" x14ac:dyDescent="0.3">
      <c r="G11" s="4"/>
      <c r="H11" s="4"/>
    </row>
    <row r="12" spans="1:15" ht="24" x14ac:dyDescent="0.3">
      <c r="E12" s="6">
        <f>SUMIF($D$2:$D$7, M5, $I$2:$I$7)</f>
        <v>0</v>
      </c>
      <c r="G12" s="4"/>
      <c r="H12" s="4"/>
    </row>
  </sheetData>
  <mergeCells count="1">
    <mergeCell ref="N2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Essaih</dc:creator>
  <cp:lastModifiedBy>Yasser Essaih</cp:lastModifiedBy>
  <dcterms:created xsi:type="dcterms:W3CDTF">2025-12-16T08:13:22Z</dcterms:created>
  <dcterms:modified xsi:type="dcterms:W3CDTF">2025-12-16T09:22:53Z</dcterms:modified>
</cp:coreProperties>
</file>